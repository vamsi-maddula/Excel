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tables/table3.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queryTables/queryTable4.xml" ContentType="application/vnd.openxmlformats-officedocument.spreadsheetml.queryTable+xml"/>
  <Override PartName="/xl/tables/table7.xml" ContentType="application/vnd.openxmlformats-officedocument.spreadsheetml.table+xml"/>
  <Override PartName="/xl/queryTables/queryTable5.xml" ContentType="application/vnd.openxmlformats-officedocument.spreadsheetml.query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09d602408327ca78/Desktop/New/"/>
    </mc:Choice>
  </mc:AlternateContent>
  <xr:revisionPtr revIDLastSave="0" documentId="8_{26820502-CC58-4A91-A299-6D3B470E7450}" xr6:coauthVersionLast="47" xr6:coauthVersionMax="47" xr10:uidLastSave="{00000000-0000-0000-0000-000000000000}"/>
  <bookViews>
    <workbookView xWindow="-120" yWindow="-120" windowWidth="29040" windowHeight="15720" xr2:uid="{8B4DDD1B-8EA1-4A6F-93B7-612CF8EA68A0}"/>
  </bookViews>
  <sheets>
    <sheet name="Raw Data" sheetId="4" r:id="rId1"/>
    <sheet name="cleaned" sheetId="2" r:id="rId2"/>
    <sheet name="Pivot_Summary" sheetId="1" r:id="rId3"/>
    <sheet name="KPI" sheetId="3" r:id="rId4"/>
    <sheet name="Reconsilation" sheetId="6" r:id="rId5"/>
    <sheet name="query_exception_log" sheetId="12" r:id="rId6"/>
    <sheet name="query_null_sales" sheetId="8" state="hidden" r:id="rId7"/>
    <sheet name="query _negative_sales" sheetId="9" state="hidden" r:id="rId8"/>
    <sheet name="query_duplicates" sheetId="11" state="hidden" r:id="rId9"/>
    <sheet name="Data_Quality" sheetId="7" r:id="rId10"/>
    <sheet name="Instructions" sheetId="14" r:id="rId11"/>
  </sheets>
  <definedNames>
    <definedName name="ExternalData_1" localSheetId="1" hidden="1">cleaned!$A$1:$G$206</definedName>
    <definedName name="ExternalData_1" localSheetId="7" hidden="1">'query _negative_sales'!$A$1:$H$6</definedName>
    <definedName name="ExternalData_1" localSheetId="8" hidden="1">query_duplicates!$A$1:$H$11</definedName>
    <definedName name="ExternalData_1" localSheetId="6" hidden="1">query_null_sales!$A$1:$H$10</definedName>
    <definedName name="ExternalData_2" localSheetId="5" hidden="1">query_exception_log!$A$1:$H$25</definedName>
    <definedName name="Slicer_Month">#N/A</definedName>
    <definedName name="Slicer_Product">#N/A</definedName>
    <definedName name="Slicer_Region">#N/A</definedName>
  </definedNames>
  <calcPr calcId="191029"/>
  <pivotCaches>
    <pivotCache cacheId="5"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14" i="7" l="1"/>
  <c r="G13" i="7"/>
  <c r="G12" i="7"/>
  <c r="G11" i="7"/>
  <c r="G10" i="7"/>
  <c r="C4" i="6"/>
  <c r="C3" i="6"/>
  <c r="C2" i="6"/>
  <c r="B4" i="6"/>
  <c r="B3" i="6"/>
  <c r="B2" i="6"/>
  <c r="B6" i="3"/>
  <c r="B5" i="3"/>
  <c r="B4" i="3"/>
  <c r="B3" i="3"/>
  <c r="B2" i="3"/>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G15"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4D463CC-432A-4A10-ABAB-E36C4713CF12}" keepAlive="1" name="Query - query" description="Connection to the 'query' query in the workbook." type="5" refreshedVersion="8" background="1" saveData="1">
    <dbPr connection="Provider=Microsoft.Mashup.OleDb.1;Data Source=$Workbook$;Location=query;Extended Properties=&quot;&quot;" command="SELECT * FROM [query]"/>
  </connection>
  <connection id="2" xr16:uid="{D9BA5EC0-3472-49D7-BA76-1A7E97E559D0}" keepAlive="1" name="Query - query _negative_sales" description="Connection to the 'query _negative_sales' query in the workbook." type="5" refreshedVersion="8" background="1" saveData="1">
    <dbPr connection="Provider=Microsoft.Mashup.OleDb.1;Data Source=$Workbook$;Location=&quot;query _negative_sales&quot;;Extended Properties=&quot;&quot;" command="SELECT * FROM [query _negative_sales]"/>
  </connection>
  <connection id="3" xr16:uid="{6C2D68D3-0473-4605-B8A8-EB52AAAE3C97}" keepAlive="1" name="Query - query_duplicates" description="Connection to the 'query_duplicates' query in the workbook." type="5" refreshedVersion="8" background="1" saveData="1">
    <dbPr connection="Provider=Microsoft.Mashup.OleDb.1;Data Source=$Workbook$;Location=query_duplicates;Extended Properties=&quot;&quot;" command="SELECT * FROM [query_duplicates]"/>
  </connection>
  <connection id="4" xr16:uid="{601F55EE-18EB-43C7-9EF5-5DF3DB4BD02B}" keepAlive="1" name="Query - query_exception_log" description="Connection to the 'query_exception_log' query in the workbook." type="5" refreshedVersion="0" background="1">
    <dbPr connection="Provider=Microsoft.Mashup.OleDb.1;Data Source=$Workbook$;Location=query_exception_log;Extended Properties=&quot;&quot;" command="SELECT * FROM [query_exception_log]"/>
  </connection>
  <connection id="5" xr16:uid="{5C41E0BA-CA91-47B9-9938-917972C35F88}" keepAlive="1" name="Query - query_exception_log1" description="Connection to the 'query_exception_log' query in the workbook." type="5" refreshedVersion="8" background="1" saveData="1">
    <dbPr connection="Provider=Microsoft.Mashup.OleDb.1;Data Source=$Workbook$;Location=query_exception_log;Extended Properties=&quot;&quot;" command="SELECT * FROM [query_exception_log]"/>
  </connection>
  <connection id="6" xr16:uid="{6F189B69-4933-492E-A9BE-1CEC71E15752}" keepAlive="1" name="Query - query_null_sales" description="Connection to the 'query_null_sales' query in the workbook." type="5" refreshedVersion="8" background="1" saveData="1">
    <dbPr connection="Provider=Microsoft.Mashup.OleDb.1;Data Source=$Workbook$;Location=query_null_sales;Extended Properties=&quot;&quot;" command="SELECT * FROM [query_null_sales]"/>
  </connection>
</connections>
</file>

<file path=xl/sharedStrings.xml><?xml version="1.0" encoding="utf-8"?>
<sst xmlns="http://schemas.openxmlformats.org/spreadsheetml/2006/main" count="1323" uniqueCount="61">
  <si>
    <t>Date</t>
  </si>
  <si>
    <t>Region</t>
  </si>
  <si>
    <t>Product</t>
  </si>
  <si>
    <t>Sales</t>
  </si>
  <si>
    <t>Cost</t>
  </si>
  <si>
    <t>Month</t>
  </si>
  <si>
    <t>Year</t>
  </si>
  <si>
    <t>North</t>
  </si>
  <si>
    <t>B</t>
  </si>
  <si>
    <t>January</t>
  </si>
  <si>
    <t>West</t>
  </si>
  <si>
    <t>C</t>
  </si>
  <si>
    <t>South</t>
  </si>
  <si>
    <t>D</t>
  </si>
  <si>
    <t>A</t>
  </si>
  <si>
    <t>East</t>
  </si>
  <si>
    <t>February</t>
  </si>
  <si>
    <t>March</t>
  </si>
  <si>
    <t>April</t>
  </si>
  <si>
    <t>May</t>
  </si>
  <si>
    <t>June</t>
  </si>
  <si>
    <t>July</t>
  </si>
  <si>
    <t>Profit</t>
  </si>
  <si>
    <t>Row Labels</t>
  </si>
  <si>
    <t>Grand Total</t>
  </si>
  <si>
    <t>Sum of Sales</t>
  </si>
  <si>
    <t>Total sales</t>
  </si>
  <si>
    <t>Total cost</t>
  </si>
  <si>
    <t>Total profit</t>
  </si>
  <si>
    <t>Profit Margin</t>
  </si>
  <si>
    <t>Number of Transactions</t>
  </si>
  <si>
    <t>Metrics</t>
  </si>
  <si>
    <t>Values</t>
  </si>
  <si>
    <t>Metric</t>
  </si>
  <si>
    <t>Record count</t>
  </si>
  <si>
    <t>Raw Data</t>
  </si>
  <si>
    <t>Clean data</t>
  </si>
  <si>
    <t>Difference</t>
  </si>
  <si>
    <t>Issue type</t>
  </si>
  <si>
    <t>Missing sales</t>
  </si>
  <si>
    <t>Negative sales</t>
  </si>
  <si>
    <t>Duplicates</t>
  </si>
  <si>
    <t>Total Records</t>
  </si>
  <si>
    <t>Clean Records</t>
  </si>
  <si>
    <t>Null sales</t>
  </si>
  <si>
    <t>% Clean data</t>
  </si>
  <si>
    <t>Reporting automation</t>
  </si>
  <si>
    <t>Goal:</t>
  </si>
  <si>
    <t>To allow easy, one-click refresh of the report using updated data without manual changes.</t>
  </si>
  <si>
    <t>step 1 : Update source data</t>
  </si>
  <si>
    <t>Replace the old data file with the new one or Add new file to the source folder Note: columns should be same</t>
  </si>
  <si>
    <t>step 2 : open the workbook</t>
  </si>
  <si>
    <t xml:space="preserve">Open the Excel reporting file
</t>
  </si>
  <si>
    <t>step 3 : refresh all data</t>
  </si>
  <si>
    <t>Data -&gt; Refresh ALL  0r ctrl+alt+F5</t>
  </si>
  <si>
    <t>step 4 : check outputs</t>
  </si>
  <si>
    <t>cleaned,pivot_summary,KPI,Reconsilation,query_exception_log</t>
  </si>
  <si>
    <t>Notes:</t>
  </si>
  <si>
    <t>Do NOT edit  : Clean_Data table, Pivot tables</t>
  </si>
  <si>
    <t>Do NOT change: Column names, File structure</t>
  </si>
  <si>
    <t>Only update raw data source, Ensure no extra or missing columns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</si>
</sst>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color theme="1"/>
      <name val="Aptos Narrow"/>
      <family val="2"/>
      <scheme val="minor"/>
    </font>
    <font>
      <sz val="8"/>
      <name val="Aptos Narrow"/>
      <family val="2"/>
      <scheme val="minor"/>
    </font>
    <font>
      <b/>
      <sz val="22"/>
      <color theme="1"/>
      <name val="Aptos Narrow"/>
      <family val="2"/>
      <scheme val="minor"/>
    </font>
    <font>
      <sz val="24"/>
      <color theme="1"/>
      <name val="Aptos Narrow"/>
      <family val="2"/>
      <scheme val="minor"/>
    </font>
    <font>
      <sz val="16"/>
      <color theme="1"/>
      <name val="Aptos Narrow"/>
      <family val="2"/>
      <scheme val="minor"/>
    </font>
    <font>
      <sz val="36"/>
      <color theme="1"/>
      <name val="Aptos Narrow"/>
      <family val="2"/>
      <scheme val="minor"/>
    </font>
    <font>
      <sz val="14"/>
      <color theme="1"/>
      <name val="Aptos Narrow"/>
      <family val="2"/>
      <scheme val="minor"/>
    </font>
    <font>
      <sz val="11"/>
      <color theme="1"/>
      <name val="Segoe UI"/>
      <family val="2"/>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22"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4" fillId="0" borderId="0" xfId="0" applyFont="1"/>
    <xf numFmtId="9" fontId="4" fillId="0" borderId="0" xfId="1" applyFont="1"/>
    <xf numFmtId="0" fontId="5" fillId="0" borderId="0" xfId="0" applyFont="1"/>
    <xf numFmtId="22" fontId="5" fillId="0" borderId="0" xfId="0" applyNumberFormat="1" applyFont="1"/>
    <xf numFmtId="0" fontId="5" fillId="0" borderId="0" xfId="0" applyNumberFormat="1" applyFont="1"/>
    <xf numFmtId="0" fontId="6" fillId="0" borderId="0" xfId="0" applyFont="1"/>
    <xf numFmtId="0" fontId="3" fillId="2" borderId="0" xfId="0" applyFont="1" applyFill="1"/>
    <xf numFmtId="0" fontId="7" fillId="0" borderId="0" xfId="0" applyFont="1"/>
    <xf numFmtId="0" fontId="0" fillId="0" borderId="0" xfId="0" applyAlignment="1">
      <alignment wrapText="1"/>
    </xf>
    <xf numFmtId="0" fontId="0" fillId="0" borderId="0" xfId="0" applyAlignment="1">
      <alignment vertical="center"/>
    </xf>
    <xf numFmtId="0" fontId="8" fillId="0" borderId="0" xfId="0" applyFont="1" applyAlignment="1">
      <alignment vertical="center"/>
    </xf>
    <xf numFmtId="0" fontId="0" fillId="0" borderId="0" xfId="0" applyAlignment="1">
      <alignment horizontal="left" vertical="center" indent="1"/>
    </xf>
    <xf numFmtId="0" fontId="8" fillId="0" borderId="0" xfId="0" applyFont="1" applyAlignment="1">
      <alignment horizontal="left" vertical="center" indent="1"/>
    </xf>
  </cellXfs>
  <cellStyles count="2">
    <cellStyle name="Normal" xfId="0" builtinId="0"/>
    <cellStyle name="Per cent" xfId="1" builtinId="5"/>
  </cellStyles>
  <dxfs count="42">
    <dxf>
      <font>
        <strike val="0"/>
        <outline val="0"/>
        <shadow val="0"/>
        <u val="none"/>
        <vertAlign val="baseline"/>
        <sz val="24"/>
        <color theme="1"/>
        <name val="Aptos Narrow"/>
        <family val="2"/>
        <scheme val="minor"/>
      </font>
    </dxf>
    <dxf>
      <font>
        <strike val="0"/>
        <outline val="0"/>
        <shadow val="0"/>
        <u val="none"/>
        <vertAlign val="baseline"/>
        <sz val="24"/>
        <color theme="1"/>
        <name val="Aptos Narrow"/>
        <family val="2"/>
        <scheme val="minor"/>
      </font>
    </dxf>
    <dxf>
      <font>
        <strike val="0"/>
        <outline val="0"/>
        <shadow val="0"/>
        <u val="none"/>
        <vertAlign val="baseline"/>
        <sz val="24"/>
        <color theme="1"/>
        <name val="Aptos Narrow"/>
        <family val="2"/>
        <scheme val="minor"/>
      </font>
    </dxf>
    <dxf>
      <font>
        <strike val="0"/>
        <outline val="0"/>
        <shadow val="0"/>
        <u val="none"/>
        <vertAlign val="baseline"/>
        <sz val="24"/>
        <color theme="1"/>
        <name val="Aptos Narrow"/>
        <family val="2"/>
        <scheme val="minor"/>
      </font>
    </dxf>
    <dxf>
      <font>
        <strike val="0"/>
        <outline val="0"/>
        <shadow val="0"/>
        <u val="none"/>
        <vertAlign val="baseline"/>
        <sz val="36"/>
        <color theme="1"/>
        <name val="Aptos Narrow"/>
        <family val="2"/>
        <scheme val="minor"/>
      </font>
    </dxf>
    <dxf>
      <font>
        <strike val="0"/>
        <outline val="0"/>
        <shadow val="0"/>
        <u val="none"/>
        <vertAlign val="baseline"/>
        <sz val="36"/>
        <color theme="1"/>
        <name val="Aptos Narrow"/>
        <family val="2"/>
        <scheme val="minor"/>
      </font>
    </dxf>
    <dxf>
      <font>
        <strike val="0"/>
        <outline val="0"/>
        <shadow val="0"/>
        <u val="none"/>
        <vertAlign val="baseline"/>
        <sz val="36"/>
        <color theme="1"/>
        <name val="Aptos Narrow"/>
        <family val="2"/>
        <scheme val="minor"/>
      </font>
    </dxf>
    <dxf>
      <font>
        <strike val="0"/>
        <outline val="0"/>
        <shadow val="0"/>
        <u val="none"/>
        <vertAlign val="baseline"/>
        <sz val="36"/>
        <color theme="1"/>
        <name val="Aptos Narrow"/>
        <family val="2"/>
        <scheme val="minor"/>
      </font>
    </dxf>
    <dxf>
      <font>
        <strike val="0"/>
        <outline val="0"/>
        <shadow val="0"/>
        <u val="none"/>
        <vertAlign val="baseline"/>
        <sz val="36"/>
        <color theme="1"/>
        <name val="Aptos Narrow"/>
        <family val="2"/>
        <scheme val="minor"/>
      </font>
    </dxf>
    <dxf>
      <font>
        <strike val="0"/>
        <outline val="0"/>
        <shadow val="0"/>
        <u val="none"/>
        <vertAlign val="baseline"/>
        <sz val="36"/>
        <color theme="1"/>
        <name val="Aptos Narrow"/>
        <family val="2"/>
        <scheme val="minor"/>
      </font>
    </dxf>
    <dxf>
      <font>
        <strike val="0"/>
        <outline val="0"/>
        <shadow val="0"/>
        <u val="none"/>
        <vertAlign val="baseline"/>
        <sz val="16"/>
        <color theme="1"/>
        <name val="Aptos Narrow"/>
        <family val="2"/>
        <scheme val="minor"/>
      </font>
    </dxf>
    <dxf>
      <font>
        <strike val="0"/>
        <outline val="0"/>
        <shadow val="0"/>
        <u val="none"/>
        <vertAlign val="baseline"/>
        <sz val="16"/>
        <color theme="1"/>
        <name val="Aptos Narrow"/>
        <family val="2"/>
        <scheme val="minor"/>
      </font>
    </dxf>
    <dxf>
      <font>
        <strike val="0"/>
        <outline val="0"/>
        <shadow val="0"/>
        <u val="none"/>
        <vertAlign val="baseline"/>
        <sz val="16"/>
        <color theme="1"/>
        <name val="Aptos Narrow"/>
        <family val="2"/>
        <scheme val="minor"/>
      </font>
    </dxf>
    <dxf>
      <font>
        <strike val="0"/>
        <outline val="0"/>
        <shadow val="0"/>
        <u val="none"/>
        <vertAlign val="baseline"/>
        <sz val="16"/>
        <color theme="1"/>
        <name val="Aptos Narrow"/>
        <family val="2"/>
        <scheme val="minor"/>
      </font>
    </dxf>
    <dxf>
      <font>
        <strike val="0"/>
        <outline val="0"/>
        <shadow val="0"/>
        <u val="none"/>
        <vertAlign val="baseline"/>
        <sz val="16"/>
        <color theme="1"/>
        <name val="Aptos Narrow"/>
        <family val="2"/>
        <scheme val="minor"/>
      </font>
      <numFmt numFmtId="0" formatCode="General"/>
    </dxf>
    <dxf>
      <font>
        <strike val="0"/>
        <outline val="0"/>
        <shadow val="0"/>
        <u val="none"/>
        <vertAlign val="baseline"/>
        <sz val="16"/>
        <color theme="1"/>
        <name val="Aptos Narrow"/>
        <family val="2"/>
        <scheme val="minor"/>
      </font>
    </dxf>
    <dxf>
      <font>
        <strike val="0"/>
        <outline val="0"/>
        <shadow val="0"/>
        <u val="none"/>
        <vertAlign val="baseline"/>
        <sz val="16"/>
        <color theme="1"/>
        <name val="Aptos Narrow"/>
        <family val="2"/>
        <scheme val="minor"/>
      </font>
    </dxf>
    <dxf>
      <font>
        <strike val="0"/>
        <outline val="0"/>
        <shadow val="0"/>
        <u val="none"/>
        <vertAlign val="baseline"/>
        <sz val="16"/>
        <color theme="1"/>
        <name val="Aptos Narrow"/>
        <family val="2"/>
        <scheme val="minor"/>
      </font>
      <numFmt numFmtId="0" formatCode="General"/>
    </dxf>
    <dxf>
      <font>
        <strike val="0"/>
        <outline val="0"/>
        <shadow val="0"/>
        <u val="none"/>
        <vertAlign val="baseline"/>
        <sz val="16"/>
        <color theme="1"/>
        <name val="Aptos Narrow"/>
        <family val="2"/>
        <scheme val="minor"/>
      </font>
      <numFmt numFmtId="0" formatCode="General"/>
    </dxf>
    <dxf>
      <font>
        <strike val="0"/>
        <outline val="0"/>
        <shadow val="0"/>
        <u val="none"/>
        <vertAlign val="baseline"/>
        <sz val="16"/>
        <color theme="1"/>
        <name val="Aptos Narrow"/>
        <family val="2"/>
        <scheme val="minor"/>
      </font>
      <numFmt numFmtId="27" formatCode="dd/mm/yyyy\ hh:mm"/>
    </dxf>
    <dxf>
      <font>
        <strike val="0"/>
        <outline val="0"/>
        <shadow val="0"/>
        <u val="none"/>
        <vertAlign val="baseline"/>
        <sz val="24"/>
        <color theme="1"/>
        <name val="Aptos Narrow"/>
        <family val="2"/>
        <scheme val="minor"/>
      </font>
    </dxf>
    <dxf>
      <font>
        <strike val="0"/>
        <outline val="0"/>
        <shadow val="0"/>
        <u val="none"/>
        <vertAlign val="baseline"/>
        <sz val="24"/>
        <color theme="1"/>
        <name val="Aptos Narrow"/>
        <family val="2"/>
        <scheme val="minor"/>
      </font>
    </dxf>
    <dxf>
      <font>
        <strike val="0"/>
        <outline val="0"/>
        <shadow val="0"/>
        <u val="none"/>
        <vertAlign val="baseline"/>
        <sz val="24"/>
        <color theme="1"/>
        <name val="Aptos Narrow"/>
        <family val="2"/>
        <scheme val="minor"/>
      </font>
    </dxf>
    <dxf>
      <font>
        <strike val="0"/>
        <outline val="0"/>
        <shadow val="0"/>
        <u val="none"/>
        <vertAlign val="baseline"/>
        <sz val="24"/>
        <color theme="1"/>
        <name val="Aptos Narrow"/>
        <family val="2"/>
        <scheme val="minor"/>
      </font>
    </dxf>
    <dxf>
      <font>
        <strike val="0"/>
        <outline val="0"/>
        <shadow val="0"/>
        <u val="none"/>
        <vertAlign val="baseline"/>
        <sz val="24"/>
        <color theme="1"/>
        <name val="Aptos Narrow"/>
        <family val="2"/>
        <scheme val="minor"/>
      </font>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[Project.xlsx]Pivot_Summary!PivotTable1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Pivot_Summary!$B$1</c:f>
              <c:strCache>
                <c:ptCount val="1"/>
                <c:pt idx="0">
                  <c:v>Total</c:v>
                </c:pt>
              </c:strCache>
            </c:strRef>
          </c:tx>
          <c:spPr>
            <a:solidFill>
              <a:schemeClr val="accent1"/>
            </a:solidFill>
            <a:ln>
              <a:noFill/>
            </a:ln>
            <a:effectLst/>
          </c:spPr>
          <c:invertIfNegative val="0"/>
          <c:cat>
            <c:strRef>
              <c:f>Pivot_Summary!$A$2:$A$6</c:f>
              <c:strCache>
                <c:ptCount val="4"/>
                <c:pt idx="0">
                  <c:v>East</c:v>
                </c:pt>
                <c:pt idx="1">
                  <c:v>North</c:v>
                </c:pt>
                <c:pt idx="2">
                  <c:v>South</c:v>
                </c:pt>
                <c:pt idx="3">
                  <c:v>West</c:v>
                </c:pt>
              </c:strCache>
            </c:strRef>
          </c:cat>
          <c:val>
            <c:numRef>
              <c:f>Pivot_Summary!$B$2:$B$6</c:f>
              <c:numCache>
                <c:formatCode>General</c:formatCode>
                <c:ptCount val="4"/>
                <c:pt idx="0">
                  <c:v>25846</c:v>
                </c:pt>
                <c:pt idx="1">
                  <c:v>23869</c:v>
                </c:pt>
                <c:pt idx="2">
                  <c:v>23908</c:v>
                </c:pt>
                <c:pt idx="3">
                  <c:v>33724</c:v>
                </c:pt>
              </c:numCache>
            </c:numRef>
          </c:val>
          <c:extLst>
            <c:ext xmlns:c16="http://schemas.microsoft.com/office/drawing/2014/chart" uri="{C3380CC4-5D6E-409C-BE32-E72D297353CC}">
              <c16:uniqueId val="{00000000-E020-4D86-910E-63A4D5A911D7}"/>
            </c:ext>
          </c:extLst>
        </c:ser>
        <c:dLbls>
          <c:showLegendKey val="0"/>
          <c:showVal val="0"/>
          <c:showCatName val="0"/>
          <c:showSerName val="0"/>
          <c:showPercent val="0"/>
          <c:showBubbleSize val="0"/>
        </c:dLbls>
        <c:gapWidth val="219"/>
        <c:overlap val="-27"/>
        <c:axId val="545023743"/>
        <c:axId val="545045343"/>
      </c:barChart>
      <c:catAx>
        <c:axId val="545023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045343"/>
        <c:crosses val="autoZero"/>
        <c:auto val="1"/>
        <c:lblAlgn val="ctr"/>
        <c:lblOffset val="100"/>
        <c:noMultiLvlLbl val="0"/>
      </c:catAx>
      <c:valAx>
        <c:axId val="545045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023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[Project.xlsx]Pivot_Summary!PivotTable2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Pivot_Summary!$E$1</c:f>
              <c:strCache>
                <c:ptCount val="1"/>
                <c:pt idx="0">
                  <c:v>Total</c:v>
                </c:pt>
              </c:strCache>
            </c:strRef>
          </c:tx>
          <c:spPr>
            <a:solidFill>
              <a:schemeClr val="accent1"/>
            </a:solidFill>
            <a:ln>
              <a:noFill/>
            </a:ln>
            <a:effectLst/>
            <a:sp3d/>
          </c:spPr>
          <c:invertIfNegative val="0"/>
          <c:cat>
            <c:strRef>
              <c:f>Pivot_Summary!$D$2:$D$9</c:f>
              <c:strCache>
                <c:ptCount val="7"/>
                <c:pt idx="0">
                  <c:v>January</c:v>
                </c:pt>
                <c:pt idx="1">
                  <c:v>February</c:v>
                </c:pt>
                <c:pt idx="2">
                  <c:v>March</c:v>
                </c:pt>
                <c:pt idx="3">
                  <c:v>April</c:v>
                </c:pt>
                <c:pt idx="4">
                  <c:v>May</c:v>
                </c:pt>
                <c:pt idx="5">
                  <c:v>June</c:v>
                </c:pt>
                <c:pt idx="6">
                  <c:v>July</c:v>
                </c:pt>
              </c:strCache>
            </c:strRef>
          </c:cat>
          <c:val>
            <c:numRef>
              <c:f>Pivot_Summary!$E$2:$E$9</c:f>
              <c:numCache>
                <c:formatCode>General</c:formatCode>
                <c:ptCount val="7"/>
                <c:pt idx="0">
                  <c:v>17161</c:v>
                </c:pt>
                <c:pt idx="1">
                  <c:v>14341</c:v>
                </c:pt>
                <c:pt idx="2">
                  <c:v>18685</c:v>
                </c:pt>
                <c:pt idx="3">
                  <c:v>17760</c:v>
                </c:pt>
                <c:pt idx="4">
                  <c:v>15620</c:v>
                </c:pt>
                <c:pt idx="5">
                  <c:v>14275</c:v>
                </c:pt>
                <c:pt idx="6">
                  <c:v>9505</c:v>
                </c:pt>
              </c:numCache>
            </c:numRef>
          </c:val>
          <c:extLst>
            <c:ext xmlns:c16="http://schemas.microsoft.com/office/drawing/2014/chart" uri="{C3380CC4-5D6E-409C-BE32-E72D297353CC}">
              <c16:uniqueId val="{00000000-0689-4332-A8F0-C0136E12860B}"/>
            </c:ext>
          </c:extLst>
        </c:ser>
        <c:dLbls>
          <c:showLegendKey val="0"/>
          <c:showVal val="0"/>
          <c:showCatName val="0"/>
          <c:showSerName val="0"/>
          <c:showPercent val="0"/>
          <c:showBubbleSize val="0"/>
        </c:dLbls>
        <c:gapWidth val="150"/>
        <c:shape val="box"/>
        <c:axId val="545029023"/>
        <c:axId val="545024223"/>
        <c:axId val="0"/>
      </c:bar3DChart>
      <c:catAx>
        <c:axId val="5450290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024223"/>
        <c:crosses val="autoZero"/>
        <c:auto val="1"/>
        <c:lblAlgn val="ctr"/>
        <c:lblOffset val="100"/>
        <c:noMultiLvlLbl val="0"/>
      </c:catAx>
      <c:valAx>
        <c:axId val="545024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029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[Project.xlsx]Pivot_Summary!PivotTable3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Pivot_Summary!$I$1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Pivot_Summary!$H$2:$H$6</c:f>
              <c:strCache>
                <c:ptCount val="4"/>
                <c:pt idx="0">
                  <c:v>A</c:v>
                </c:pt>
                <c:pt idx="1">
                  <c:v>B</c:v>
                </c:pt>
                <c:pt idx="2">
                  <c:v>C</c:v>
                </c:pt>
                <c:pt idx="3">
                  <c:v>D</c:v>
                </c:pt>
              </c:strCache>
            </c:strRef>
          </c:cat>
          <c:val>
            <c:numRef>
              <c:f>Pivot_Summary!$I$2:$I$6</c:f>
              <c:numCache>
                <c:formatCode>General</c:formatCode>
                <c:ptCount val="4"/>
                <c:pt idx="0">
                  <c:v>25274</c:v>
                </c:pt>
                <c:pt idx="1">
                  <c:v>30551</c:v>
                </c:pt>
                <c:pt idx="2">
                  <c:v>21392</c:v>
                </c:pt>
                <c:pt idx="3">
                  <c:v>30130</c:v>
                </c:pt>
              </c:numCache>
            </c:numRef>
          </c:val>
          <c:extLst>
            <c:ext xmlns:c16="http://schemas.microsoft.com/office/drawing/2014/chart" uri="{C3380CC4-5D6E-409C-BE32-E72D297353CC}">
              <c16:uniqueId val="{00000000-2E22-4759-B741-EA5C657C4C8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KPI!$B$1</c:f>
              <c:strCache>
                <c:ptCount val="1"/>
                <c:pt idx="0">
                  <c:v>Values</c:v>
                </c:pt>
              </c:strCache>
            </c:strRef>
          </c:tx>
          <c:explosion val="5"/>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KPI!$A$2:$A$6</c:f>
              <c:strCache>
                <c:ptCount val="5"/>
                <c:pt idx="0">
                  <c:v>Total sales</c:v>
                </c:pt>
                <c:pt idx="1">
                  <c:v>Total cost</c:v>
                </c:pt>
                <c:pt idx="2">
                  <c:v>Total profit</c:v>
                </c:pt>
                <c:pt idx="3">
                  <c:v>Profit Margin</c:v>
                </c:pt>
                <c:pt idx="4">
                  <c:v>Number of Transactions</c:v>
                </c:pt>
              </c:strCache>
            </c:strRef>
          </c:cat>
          <c:val>
            <c:numRef>
              <c:f>KPI!$B$2:$B$6</c:f>
              <c:numCache>
                <c:formatCode>General</c:formatCode>
                <c:ptCount val="5"/>
                <c:pt idx="0">
                  <c:v>17408</c:v>
                </c:pt>
                <c:pt idx="1">
                  <c:v>16767</c:v>
                </c:pt>
                <c:pt idx="2">
                  <c:v>641</c:v>
                </c:pt>
                <c:pt idx="3" formatCode="0%">
                  <c:v>3.6822150735294115E-2</c:v>
                </c:pt>
                <c:pt idx="4">
                  <c:v>205</c:v>
                </c:pt>
              </c:numCache>
            </c:numRef>
          </c:val>
          <c:extLst>
            <c:ext xmlns:c16="http://schemas.microsoft.com/office/drawing/2014/chart" uri="{C3380CC4-5D6E-409C-BE32-E72D297353CC}">
              <c16:uniqueId val="{00000000-C363-484E-9439-624C6AD4F48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Diff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9804903614101377E-2"/>
          <c:y val="0.12137553334640737"/>
          <c:w val="0.88584190261241502"/>
          <c:h val="0.69524659211393924"/>
        </c:manualLayout>
      </c:layout>
      <c:barChart>
        <c:barDir val="col"/>
        <c:grouping val="clustered"/>
        <c:varyColors val="0"/>
        <c:ser>
          <c:idx val="0"/>
          <c:order val="0"/>
          <c:tx>
            <c:strRef>
              <c:f>Reconsilation!$A$2</c:f>
              <c:strCache>
                <c:ptCount val="1"/>
                <c:pt idx="0">
                  <c:v>Total sales</c:v>
                </c:pt>
              </c:strCache>
            </c:strRef>
          </c:tx>
          <c:spPr>
            <a:solidFill>
              <a:schemeClr val="accent1"/>
            </a:solidFill>
            <a:ln>
              <a:noFill/>
            </a:ln>
            <a:effectLst/>
          </c:spPr>
          <c:invertIfNegative val="0"/>
          <c:cat>
            <c:strRef>
              <c:f>Reconsilation!$B$1:$D$1</c:f>
              <c:strCache>
                <c:ptCount val="3"/>
                <c:pt idx="0">
                  <c:v>Raw Data</c:v>
                </c:pt>
                <c:pt idx="1">
                  <c:v>Clean data</c:v>
                </c:pt>
                <c:pt idx="2">
                  <c:v>Difference</c:v>
                </c:pt>
              </c:strCache>
            </c:strRef>
          </c:cat>
          <c:val>
            <c:numRef>
              <c:f>Reconsilation!$B$2:$D$2</c:f>
              <c:numCache>
                <c:formatCode>General</c:formatCode>
                <c:ptCount val="3"/>
                <c:pt idx="0">
                  <c:v>107347</c:v>
                </c:pt>
                <c:pt idx="1">
                  <c:v>107347</c:v>
                </c:pt>
                <c:pt idx="2">
                  <c:v>0</c:v>
                </c:pt>
              </c:numCache>
            </c:numRef>
          </c:val>
          <c:extLst>
            <c:ext xmlns:c16="http://schemas.microsoft.com/office/drawing/2014/chart" uri="{C3380CC4-5D6E-409C-BE32-E72D297353CC}">
              <c16:uniqueId val="{00000000-3D2F-4C6C-9C3D-63B1D42DE19A}"/>
            </c:ext>
          </c:extLst>
        </c:ser>
        <c:ser>
          <c:idx val="1"/>
          <c:order val="1"/>
          <c:tx>
            <c:strRef>
              <c:f>Reconsilation!$A$3</c:f>
              <c:strCache>
                <c:ptCount val="1"/>
                <c:pt idx="0">
                  <c:v>Total cost</c:v>
                </c:pt>
              </c:strCache>
            </c:strRef>
          </c:tx>
          <c:spPr>
            <a:solidFill>
              <a:schemeClr val="accent2"/>
            </a:solidFill>
            <a:ln>
              <a:noFill/>
            </a:ln>
            <a:effectLst/>
          </c:spPr>
          <c:invertIfNegative val="0"/>
          <c:cat>
            <c:strRef>
              <c:f>Reconsilation!$B$1:$D$1</c:f>
              <c:strCache>
                <c:ptCount val="3"/>
                <c:pt idx="0">
                  <c:v>Raw Data</c:v>
                </c:pt>
                <c:pt idx="1">
                  <c:v>Clean data</c:v>
                </c:pt>
                <c:pt idx="2">
                  <c:v>Difference</c:v>
                </c:pt>
              </c:strCache>
            </c:strRef>
          </c:cat>
          <c:val>
            <c:numRef>
              <c:f>Reconsilation!$B$3:$D$3</c:f>
              <c:numCache>
                <c:formatCode>General</c:formatCode>
                <c:ptCount val="3"/>
                <c:pt idx="0">
                  <c:v>92259</c:v>
                </c:pt>
                <c:pt idx="1">
                  <c:v>92259</c:v>
                </c:pt>
                <c:pt idx="2">
                  <c:v>0</c:v>
                </c:pt>
              </c:numCache>
            </c:numRef>
          </c:val>
          <c:extLst>
            <c:ext xmlns:c16="http://schemas.microsoft.com/office/drawing/2014/chart" uri="{C3380CC4-5D6E-409C-BE32-E72D297353CC}">
              <c16:uniqueId val="{00000001-3D2F-4C6C-9C3D-63B1D42DE19A}"/>
            </c:ext>
          </c:extLst>
        </c:ser>
        <c:ser>
          <c:idx val="2"/>
          <c:order val="2"/>
          <c:tx>
            <c:strRef>
              <c:f>Reconsilation!$A$4</c:f>
              <c:strCache>
                <c:ptCount val="1"/>
                <c:pt idx="0">
                  <c:v>Record count</c:v>
                </c:pt>
              </c:strCache>
            </c:strRef>
          </c:tx>
          <c:spPr>
            <a:solidFill>
              <a:schemeClr val="accent3"/>
            </a:solidFill>
            <a:ln>
              <a:noFill/>
            </a:ln>
            <a:effectLst/>
          </c:spPr>
          <c:invertIfNegative val="0"/>
          <c:cat>
            <c:strRef>
              <c:f>Reconsilation!$B$1:$D$1</c:f>
              <c:strCache>
                <c:ptCount val="3"/>
                <c:pt idx="0">
                  <c:v>Raw Data</c:v>
                </c:pt>
                <c:pt idx="1">
                  <c:v>Clean data</c:v>
                </c:pt>
                <c:pt idx="2">
                  <c:v>Difference</c:v>
                </c:pt>
              </c:strCache>
            </c:strRef>
          </c:cat>
          <c:val>
            <c:numRef>
              <c:f>Reconsilation!$B$4:$D$4</c:f>
              <c:numCache>
                <c:formatCode>General</c:formatCode>
                <c:ptCount val="3"/>
                <c:pt idx="0">
                  <c:v>205</c:v>
                </c:pt>
                <c:pt idx="1">
                  <c:v>205</c:v>
                </c:pt>
                <c:pt idx="2">
                  <c:v>0</c:v>
                </c:pt>
              </c:numCache>
            </c:numRef>
          </c:val>
          <c:extLst>
            <c:ext xmlns:c16="http://schemas.microsoft.com/office/drawing/2014/chart" uri="{C3380CC4-5D6E-409C-BE32-E72D297353CC}">
              <c16:uniqueId val="{00000002-3D2F-4C6C-9C3D-63B1D42DE19A}"/>
            </c:ext>
          </c:extLst>
        </c:ser>
        <c:dLbls>
          <c:showLegendKey val="0"/>
          <c:showVal val="0"/>
          <c:showCatName val="0"/>
          <c:showSerName val="0"/>
          <c:showPercent val="0"/>
          <c:showBubbleSize val="0"/>
        </c:dLbls>
        <c:gapWidth val="219"/>
        <c:overlap val="-27"/>
        <c:axId val="545099583"/>
        <c:axId val="545098623"/>
      </c:barChart>
      <c:catAx>
        <c:axId val="545099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098623"/>
        <c:crosses val="autoZero"/>
        <c:auto val="1"/>
        <c:lblAlgn val="ctr"/>
        <c:lblOffset val="100"/>
        <c:noMultiLvlLbl val="0"/>
      </c:catAx>
      <c:valAx>
        <c:axId val="545098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0995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15</xdr:col>
      <xdr:colOff>600075</xdr:colOff>
      <xdr:row>0</xdr:row>
      <xdr:rowOff>0</xdr:rowOff>
    </xdr:from>
    <xdr:to>
      <xdr:col>18</xdr:col>
      <xdr:colOff>600075</xdr:colOff>
      <xdr:row>14</xdr:row>
      <xdr:rowOff>0</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1C120D86-38AE-0DF9-9E6A-37C56405AC6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953875" y="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19050</xdr:colOff>
      <xdr:row>0</xdr:row>
      <xdr:rowOff>0</xdr:rowOff>
    </xdr:from>
    <xdr:to>
      <xdr:col>13</xdr:col>
      <xdr:colOff>19050</xdr:colOff>
      <xdr:row>14</xdr:row>
      <xdr:rowOff>0</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9F2A007D-DEE3-3914-7B8F-CEA9F7FBD03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8324850" y="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9525</xdr:colOff>
      <xdr:row>0</xdr:row>
      <xdr:rowOff>0</xdr:rowOff>
    </xdr:from>
    <xdr:to>
      <xdr:col>16</xdr:col>
      <xdr:colOff>9525</xdr:colOff>
      <xdr:row>14</xdr:row>
      <xdr:rowOff>0</xdr:rowOff>
    </xdr:to>
    <mc:AlternateContent xmlns:mc="http://schemas.openxmlformats.org/markup-compatibility/2006">
      <mc:Choice xmlns:a14="http://schemas.microsoft.com/office/drawing/2010/main" Requires="a14">
        <xdr:graphicFrame macro="">
          <xdr:nvGraphicFramePr>
            <xdr:cNvPr id="4" name="Month">
              <a:extLst>
                <a:ext uri="{FF2B5EF4-FFF2-40B4-BE49-F238E27FC236}">
                  <a16:creationId xmlns:a16="http://schemas.microsoft.com/office/drawing/2014/main" id="{374D7016-76CF-4602-8EB1-66B7667FC81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0144125" y="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13</xdr:row>
      <xdr:rowOff>176212</xdr:rowOff>
    </xdr:from>
    <xdr:to>
      <xdr:col>2</xdr:col>
      <xdr:colOff>152400</xdr:colOff>
      <xdr:row>28</xdr:row>
      <xdr:rowOff>61912</xdr:rowOff>
    </xdr:to>
    <xdr:graphicFrame macro="">
      <xdr:nvGraphicFramePr>
        <xdr:cNvPr id="5" name="Chart 4">
          <a:extLst>
            <a:ext uri="{FF2B5EF4-FFF2-40B4-BE49-F238E27FC236}">
              <a16:creationId xmlns:a16="http://schemas.microsoft.com/office/drawing/2014/main" id="{28F724C7-ADC2-543E-B82E-840D9E9BDE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238125</xdr:colOff>
      <xdr:row>9</xdr:row>
      <xdr:rowOff>166687</xdr:rowOff>
    </xdr:from>
    <xdr:to>
      <xdr:col>8</xdr:col>
      <xdr:colOff>352425</xdr:colOff>
      <xdr:row>24</xdr:row>
      <xdr:rowOff>52387</xdr:rowOff>
    </xdr:to>
    <xdr:graphicFrame macro="">
      <xdr:nvGraphicFramePr>
        <xdr:cNvPr id="6" name="Chart 5">
          <a:extLst>
            <a:ext uri="{FF2B5EF4-FFF2-40B4-BE49-F238E27FC236}">
              <a16:creationId xmlns:a16="http://schemas.microsoft.com/office/drawing/2014/main" id="{D840E637-575E-258D-2DFC-9F7A2BD8A8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509587</xdr:colOff>
      <xdr:row>14</xdr:row>
      <xdr:rowOff>4762</xdr:rowOff>
    </xdr:from>
    <xdr:to>
      <xdr:col>15</xdr:col>
      <xdr:colOff>585787</xdr:colOff>
      <xdr:row>28</xdr:row>
      <xdr:rowOff>80962</xdr:rowOff>
    </xdr:to>
    <xdr:graphicFrame macro="">
      <xdr:nvGraphicFramePr>
        <xdr:cNvPr id="9" name="Chart 8">
          <a:extLst>
            <a:ext uri="{FF2B5EF4-FFF2-40B4-BE49-F238E27FC236}">
              <a16:creationId xmlns:a16="http://schemas.microsoft.com/office/drawing/2014/main" id="{295AEB14-A55E-4677-18FB-C0961EFBFF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0</xdr:row>
      <xdr:rowOff>0</xdr:rowOff>
    </xdr:from>
    <xdr:to>
      <xdr:col>10</xdr:col>
      <xdr:colOff>304800</xdr:colOff>
      <xdr:row>7</xdr:row>
      <xdr:rowOff>152400</xdr:rowOff>
    </xdr:to>
    <xdr:graphicFrame macro="">
      <xdr:nvGraphicFramePr>
        <xdr:cNvPr id="2" name="Chart 1">
          <a:extLst>
            <a:ext uri="{FF2B5EF4-FFF2-40B4-BE49-F238E27FC236}">
              <a16:creationId xmlns:a16="http://schemas.microsoft.com/office/drawing/2014/main" id="{864D149A-B420-CAEC-12E7-93147ABE51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2019299</xdr:colOff>
      <xdr:row>3</xdr:row>
      <xdr:rowOff>581025</xdr:rowOff>
    </xdr:from>
    <xdr:to>
      <xdr:col>3</xdr:col>
      <xdr:colOff>219074</xdr:colOff>
      <xdr:row>22</xdr:row>
      <xdr:rowOff>23812</xdr:rowOff>
    </xdr:to>
    <xdr:graphicFrame macro="">
      <xdr:nvGraphicFramePr>
        <xdr:cNvPr id="2" name="Chart 1">
          <a:extLst>
            <a:ext uri="{FF2B5EF4-FFF2-40B4-BE49-F238E27FC236}">
              <a16:creationId xmlns:a16="http://schemas.microsoft.com/office/drawing/2014/main" id="{78FB9934-A5AA-0404-C5B8-23EB751783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ya Attaluri" refreshedDate="46157.014769328707" createdVersion="8" refreshedVersion="8" minRefreshableVersion="3" recordCount="205" xr:uid="{86126913-E0B3-4594-960C-23B4B1CD2325}">
  <cacheSource type="worksheet">
    <worksheetSource name="query"/>
  </cacheSource>
  <cacheFields count="8">
    <cacheField name="Date" numFmtId="22">
      <sharedItems containsSemiMixedTypes="0" containsNonDate="0" containsDate="1" containsString="0" minDate="2024-01-01T00:00:00" maxDate="2024-07-19T00:00:00"/>
    </cacheField>
    <cacheField name="Region" numFmtId="0">
      <sharedItems count="4">
        <s v="North"/>
        <s v="West"/>
        <s v="South"/>
        <s v="East"/>
      </sharedItems>
    </cacheField>
    <cacheField name="Product" numFmtId="0">
      <sharedItems count="4">
        <s v="B"/>
        <s v="C"/>
        <s v="D"/>
        <s v="A"/>
      </sharedItems>
    </cacheField>
    <cacheField name="Sales" numFmtId="0">
      <sharedItems containsSemiMixedTypes="0" containsString="0" containsNumber="1" containsInteger="1" minValue="-100" maxValue="997"/>
    </cacheField>
    <cacheField name="Cost" numFmtId="0">
      <sharedItems containsSemiMixedTypes="0" containsString="0" containsNumber="1" containsInteger="1" minValue="50" maxValue="795"/>
    </cacheField>
    <cacheField name="Month" numFmtId="0">
      <sharedItems count="7">
        <s v="January"/>
        <s v="February"/>
        <s v="March"/>
        <s v="April"/>
        <s v="May"/>
        <s v="June"/>
        <s v="July"/>
      </sharedItems>
    </cacheField>
    <cacheField name="Year" numFmtId="0">
      <sharedItems containsSemiMixedTypes="0" containsString="0" containsNumber="1" containsInteger="1" minValue="2024" maxValue="2024"/>
    </cacheField>
    <cacheField name="Profit" numFmtId="0">
      <sharedItems containsSemiMixedTypes="0" containsString="0" containsNumber="1" containsInteger="1" minValue="-849" maxValue="840"/>
    </cacheField>
  </cacheFields>
  <extLst>
    <ext xmlns:x14="http://schemas.microsoft.com/office/spreadsheetml/2009/9/main" uri="{725AE2AE-9491-48be-B2B4-4EB974FC3084}">
      <x14:pivotCacheDefinition pivotCacheId="14805192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5">
  <r>
    <d v="2024-01-01T00:00:00"/>
    <x v="0"/>
    <x v="0"/>
    <n v="810"/>
    <n v="53"/>
    <x v="0"/>
    <n v="2024"/>
    <n v="757"/>
  </r>
  <r>
    <d v="2024-01-02T00:00:00"/>
    <x v="1"/>
    <x v="1"/>
    <n v="374"/>
    <n v="276"/>
    <x v="0"/>
    <n v="2024"/>
    <n v="98"/>
  </r>
  <r>
    <d v="2024-01-03T00:00:00"/>
    <x v="2"/>
    <x v="2"/>
    <n v="960"/>
    <n v="730"/>
    <x v="0"/>
    <n v="2024"/>
    <n v="230"/>
  </r>
  <r>
    <d v="2024-01-04T00:00:00"/>
    <x v="0"/>
    <x v="1"/>
    <n v="143"/>
    <n v="494"/>
    <x v="0"/>
    <n v="2024"/>
    <n v="-351"/>
  </r>
  <r>
    <d v="2024-01-05T00:00:00"/>
    <x v="1"/>
    <x v="1"/>
    <n v="183"/>
    <n v="467"/>
    <x v="0"/>
    <n v="2024"/>
    <n v="-284"/>
  </r>
  <r>
    <d v="2024-01-06T00:00:00"/>
    <x v="1"/>
    <x v="2"/>
    <n v="533"/>
    <n v="334"/>
    <x v="0"/>
    <n v="2024"/>
    <n v="199"/>
  </r>
  <r>
    <d v="2024-01-07T00:00:00"/>
    <x v="1"/>
    <x v="0"/>
    <n v="909"/>
    <n v="76"/>
    <x v="0"/>
    <n v="2024"/>
    <n v="833"/>
  </r>
  <r>
    <d v="2024-01-08T00:00:00"/>
    <x v="1"/>
    <x v="3"/>
    <n v="193"/>
    <n v="786"/>
    <x v="0"/>
    <n v="2024"/>
    <n v="-593"/>
  </r>
  <r>
    <d v="2024-01-09T00:00:00"/>
    <x v="2"/>
    <x v="3"/>
    <n v="274"/>
    <n v="298"/>
    <x v="0"/>
    <n v="2024"/>
    <n v="-24"/>
  </r>
  <r>
    <d v="2024-01-10T00:00:00"/>
    <x v="1"/>
    <x v="3"/>
    <n v="505"/>
    <n v="415"/>
    <x v="0"/>
    <n v="2024"/>
    <n v="90"/>
  </r>
  <r>
    <d v="2024-01-11T00:00:00"/>
    <x v="2"/>
    <x v="2"/>
    <n v="301"/>
    <n v="251"/>
    <x v="0"/>
    <n v="2024"/>
    <n v="50"/>
  </r>
  <r>
    <d v="2024-01-12T00:00:00"/>
    <x v="3"/>
    <x v="2"/>
    <n v="957"/>
    <n v="487"/>
    <x v="0"/>
    <n v="2024"/>
    <n v="470"/>
  </r>
  <r>
    <d v="2024-01-13T00:00:00"/>
    <x v="0"/>
    <x v="3"/>
    <n v="598"/>
    <n v="247"/>
    <x v="0"/>
    <n v="2024"/>
    <n v="351"/>
  </r>
  <r>
    <d v="2024-01-14T00:00:00"/>
    <x v="1"/>
    <x v="1"/>
    <n v="580"/>
    <n v="697"/>
    <x v="0"/>
    <n v="2024"/>
    <n v="-117"/>
  </r>
  <r>
    <d v="2024-01-15T00:00:00"/>
    <x v="3"/>
    <x v="1"/>
    <n v="429"/>
    <n v="687"/>
    <x v="0"/>
    <n v="2024"/>
    <n v="-258"/>
  </r>
  <r>
    <d v="2024-01-16T00:00:00"/>
    <x v="0"/>
    <x v="3"/>
    <n v="640"/>
    <n v="656"/>
    <x v="0"/>
    <n v="2024"/>
    <n v="-16"/>
  </r>
  <r>
    <d v="2024-01-17T00:00:00"/>
    <x v="0"/>
    <x v="3"/>
    <n v="309"/>
    <n v="122"/>
    <x v="0"/>
    <n v="2024"/>
    <n v="187"/>
  </r>
  <r>
    <d v="2024-01-18T00:00:00"/>
    <x v="0"/>
    <x v="2"/>
    <n v="717"/>
    <n v="296"/>
    <x v="0"/>
    <n v="2024"/>
    <n v="421"/>
  </r>
  <r>
    <d v="2024-01-19T00:00:00"/>
    <x v="3"/>
    <x v="3"/>
    <n v="996"/>
    <n v="185"/>
    <x v="0"/>
    <n v="2024"/>
    <n v="811"/>
  </r>
  <r>
    <d v="2024-01-20T00:00:00"/>
    <x v="2"/>
    <x v="0"/>
    <n v="675"/>
    <n v="757"/>
    <x v="0"/>
    <n v="2024"/>
    <n v="-82"/>
  </r>
  <r>
    <d v="2024-01-21T00:00:00"/>
    <x v="3"/>
    <x v="1"/>
    <n v="116"/>
    <n v="263"/>
    <x v="0"/>
    <n v="2024"/>
    <n v="-147"/>
  </r>
  <r>
    <d v="2024-01-22T00:00:00"/>
    <x v="1"/>
    <x v="3"/>
    <n v="206"/>
    <n v="525"/>
    <x v="0"/>
    <n v="2024"/>
    <n v="-319"/>
  </r>
  <r>
    <d v="2024-01-23T00:00:00"/>
    <x v="1"/>
    <x v="3"/>
    <n v="264"/>
    <n v="670"/>
    <x v="0"/>
    <n v="2024"/>
    <n v="-406"/>
  </r>
  <r>
    <d v="2024-01-24T00:00:00"/>
    <x v="3"/>
    <x v="2"/>
    <n v="706"/>
    <n v="373"/>
    <x v="0"/>
    <n v="2024"/>
    <n v="333"/>
  </r>
  <r>
    <d v="2024-01-25T00:00:00"/>
    <x v="0"/>
    <x v="0"/>
    <n v="636"/>
    <n v="152"/>
    <x v="0"/>
    <n v="2024"/>
    <n v="484"/>
  </r>
  <r>
    <d v="2024-01-26T00:00:00"/>
    <x v="2"/>
    <x v="2"/>
    <n v="728"/>
    <n v="377"/>
    <x v="0"/>
    <n v="2024"/>
    <n v="351"/>
  </r>
  <r>
    <d v="2024-01-27T00:00:00"/>
    <x v="2"/>
    <x v="3"/>
    <n v="291"/>
    <n v="645"/>
    <x v="0"/>
    <n v="2024"/>
    <n v="-354"/>
  </r>
  <r>
    <d v="2024-01-28T00:00:00"/>
    <x v="2"/>
    <x v="1"/>
    <n v="295"/>
    <n v="273"/>
    <x v="0"/>
    <n v="2024"/>
    <n v="22"/>
  </r>
  <r>
    <d v="2024-01-29T00:00:00"/>
    <x v="2"/>
    <x v="0"/>
    <n v="407"/>
    <n v="306"/>
    <x v="0"/>
    <n v="2024"/>
    <n v="101"/>
  </r>
  <r>
    <d v="2024-01-30T00:00:00"/>
    <x v="0"/>
    <x v="0"/>
    <n v="236"/>
    <n v="695"/>
    <x v="0"/>
    <n v="2024"/>
    <n v="-459"/>
  </r>
  <r>
    <d v="2024-01-31T00:00:00"/>
    <x v="2"/>
    <x v="0"/>
    <n v="959"/>
    <n v="397"/>
    <x v="0"/>
    <n v="2024"/>
    <n v="562"/>
  </r>
  <r>
    <d v="2024-02-01T00:00:00"/>
    <x v="0"/>
    <x v="2"/>
    <n v="193"/>
    <n v="157"/>
    <x v="1"/>
    <n v="2024"/>
    <n v="36"/>
  </r>
  <r>
    <d v="2024-02-02T00:00:00"/>
    <x v="1"/>
    <x v="3"/>
    <n v="991"/>
    <n v="569"/>
    <x v="1"/>
    <n v="2024"/>
    <n v="422"/>
  </r>
  <r>
    <d v="2024-02-03T00:00:00"/>
    <x v="0"/>
    <x v="3"/>
    <n v="850"/>
    <n v="199"/>
    <x v="1"/>
    <n v="2024"/>
    <n v="651"/>
  </r>
  <r>
    <d v="2024-02-04T00:00:00"/>
    <x v="1"/>
    <x v="3"/>
    <n v="187"/>
    <n v="526"/>
    <x v="1"/>
    <n v="2024"/>
    <n v="-339"/>
  </r>
  <r>
    <d v="2024-02-05T00:00:00"/>
    <x v="2"/>
    <x v="0"/>
    <n v="260"/>
    <n v="442"/>
    <x v="1"/>
    <n v="2024"/>
    <n v="-182"/>
  </r>
  <r>
    <d v="2024-02-06T00:00:00"/>
    <x v="3"/>
    <x v="0"/>
    <n v="247"/>
    <n v="733"/>
    <x v="1"/>
    <n v="2024"/>
    <n v="-486"/>
  </r>
  <r>
    <d v="2024-02-07T00:00:00"/>
    <x v="1"/>
    <x v="1"/>
    <n v="684"/>
    <n v="608"/>
    <x v="1"/>
    <n v="2024"/>
    <n v="76"/>
  </r>
  <r>
    <d v="2024-02-08T00:00:00"/>
    <x v="1"/>
    <x v="0"/>
    <n v="555"/>
    <n v="50"/>
    <x v="1"/>
    <n v="2024"/>
    <n v="505"/>
  </r>
  <r>
    <d v="2024-02-09T00:00:00"/>
    <x v="0"/>
    <x v="3"/>
    <n v="187"/>
    <n v="410"/>
    <x v="1"/>
    <n v="2024"/>
    <n v="-223"/>
  </r>
  <r>
    <d v="2024-02-10T00:00:00"/>
    <x v="3"/>
    <x v="3"/>
    <n v="113"/>
    <n v="741"/>
    <x v="1"/>
    <n v="2024"/>
    <n v="-628"/>
  </r>
  <r>
    <d v="2024-02-11T00:00:00"/>
    <x v="1"/>
    <x v="0"/>
    <n v="414"/>
    <n v="600"/>
    <x v="1"/>
    <n v="2024"/>
    <n v="-186"/>
  </r>
  <r>
    <d v="2024-02-12T00:00:00"/>
    <x v="0"/>
    <x v="1"/>
    <n v="693"/>
    <n v="139"/>
    <x v="1"/>
    <n v="2024"/>
    <n v="554"/>
  </r>
  <r>
    <d v="2024-02-13T00:00:00"/>
    <x v="2"/>
    <x v="0"/>
    <n v="220"/>
    <n v="124"/>
    <x v="1"/>
    <n v="2024"/>
    <n v="96"/>
  </r>
  <r>
    <d v="2024-02-14T00:00:00"/>
    <x v="1"/>
    <x v="0"/>
    <n v="984"/>
    <n v="549"/>
    <x v="1"/>
    <n v="2024"/>
    <n v="435"/>
  </r>
  <r>
    <d v="2024-02-15T00:00:00"/>
    <x v="2"/>
    <x v="2"/>
    <n v="932"/>
    <n v="788"/>
    <x v="1"/>
    <n v="2024"/>
    <n v="144"/>
  </r>
  <r>
    <d v="2024-02-16T00:00:00"/>
    <x v="1"/>
    <x v="0"/>
    <n v="-100"/>
    <n v="685"/>
    <x v="1"/>
    <n v="2024"/>
    <n v="-785"/>
  </r>
  <r>
    <d v="2024-02-17T00:00:00"/>
    <x v="1"/>
    <x v="3"/>
    <n v="832"/>
    <n v="393"/>
    <x v="1"/>
    <n v="2024"/>
    <n v="439"/>
  </r>
  <r>
    <d v="2024-02-18T00:00:00"/>
    <x v="3"/>
    <x v="3"/>
    <n v="381"/>
    <n v="146"/>
    <x v="1"/>
    <n v="2024"/>
    <n v="235"/>
  </r>
  <r>
    <d v="2024-02-19T00:00:00"/>
    <x v="1"/>
    <x v="3"/>
    <n v="900"/>
    <n v="332"/>
    <x v="1"/>
    <n v="2024"/>
    <n v="568"/>
  </r>
  <r>
    <d v="2024-02-20T00:00:00"/>
    <x v="0"/>
    <x v="2"/>
    <n v="526"/>
    <n v="768"/>
    <x v="1"/>
    <n v="2024"/>
    <n v="-242"/>
  </r>
  <r>
    <d v="2024-02-21T00:00:00"/>
    <x v="2"/>
    <x v="2"/>
    <n v="882"/>
    <n v="82"/>
    <x v="1"/>
    <n v="2024"/>
    <n v="800"/>
  </r>
  <r>
    <d v="2024-02-22T00:00:00"/>
    <x v="2"/>
    <x v="0"/>
    <n v="570"/>
    <n v="165"/>
    <x v="1"/>
    <n v="2024"/>
    <n v="405"/>
  </r>
  <r>
    <d v="2024-02-23T00:00:00"/>
    <x v="2"/>
    <x v="1"/>
    <n v="384"/>
    <n v="504"/>
    <x v="1"/>
    <n v="2024"/>
    <n v="-120"/>
  </r>
  <r>
    <d v="2024-02-24T00:00:00"/>
    <x v="1"/>
    <x v="0"/>
    <n v="376"/>
    <n v="478"/>
    <x v="1"/>
    <n v="2024"/>
    <n v="-102"/>
  </r>
  <r>
    <d v="2024-02-25T00:00:00"/>
    <x v="0"/>
    <x v="2"/>
    <n v="424"/>
    <n v="740"/>
    <x v="1"/>
    <n v="2024"/>
    <n v="-316"/>
  </r>
  <r>
    <d v="2024-02-26T00:00:00"/>
    <x v="1"/>
    <x v="0"/>
    <n v="634"/>
    <n v="223"/>
    <x v="1"/>
    <n v="2024"/>
    <n v="411"/>
  </r>
  <r>
    <d v="2024-02-27T00:00:00"/>
    <x v="3"/>
    <x v="2"/>
    <n v="327"/>
    <n v="795"/>
    <x v="1"/>
    <n v="2024"/>
    <n v="-468"/>
  </r>
  <r>
    <d v="2024-02-28T00:00:00"/>
    <x v="0"/>
    <x v="3"/>
    <n v="0"/>
    <n v="182"/>
    <x v="1"/>
    <n v="2024"/>
    <n v="-182"/>
  </r>
  <r>
    <d v="2024-02-29T00:00:00"/>
    <x v="1"/>
    <x v="3"/>
    <n v="695"/>
    <n v="491"/>
    <x v="1"/>
    <n v="2024"/>
    <n v="204"/>
  </r>
  <r>
    <d v="2024-03-01T00:00:00"/>
    <x v="1"/>
    <x v="2"/>
    <n v="747"/>
    <n v="143"/>
    <x v="2"/>
    <n v="2024"/>
    <n v="604"/>
  </r>
  <r>
    <d v="2024-03-02T00:00:00"/>
    <x v="3"/>
    <x v="0"/>
    <n v="673"/>
    <n v="397"/>
    <x v="2"/>
    <n v="2024"/>
    <n v="276"/>
  </r>
  <r>
    <d v="2024-03-03T00:00:00"/>
    <x v="1"/>
    <x v="1"/>
    <n v="753"/>
    <n v="451"/>
    <x v="2"/>
    <n v="2024"/>
    <n v="302"/>
  </r>
  <r>
    <d v="2024-03-04T00:00:00"/>
    <x v="3"/>
    <x v="3"/>
    <n v="617"/>
    <n v="469"/>
    <x v="2"/>
    <n v="2024"/>
    <n v="148"/>
  </r>
  <r>
    <d v="2024-03-05T00:00:00"/>
    <x v="1"/>
    <x v="1"/>
    <n v="356"/>
    <n v="756"/>
    <x v="2"/>
    <n v="2024"/>
    <n v="-400"/>
  </r>
  <r>
    <d v="2024-03-06T00:00:00"/>
    <x v="0"/>
    <x v="2"/>
    <n v="236"/>
    <n v="454"/>
    <x v="2"/>
    <n v="2024"/>
    <n v="-218"/>
  </r>
  <r>
    <d v="2024-03-07T00:00:00"/>
    <x v="3"/>
    <x v="2"/>
    <n v="307"/>
    <n v="235"/>
    <x v="2"/>
    <n v="2024"/>
    <n v="72"/>
  </r>
  <r>
    <d v="2024-03-08T00:00:00"/>
    <x v="0"/>
    <x v="1"/>
    <n v="563"/>
    <n v="425"/>
    <x v="2"/>
    <n v="2024"/>
    <n v="138"/>
  </r>
  <r>
    <d v="2024-03-09T00:00:00"/>
    <x v="0"/>
    <x v="2"/>
    <n v="239"/>
    <n v="726"/>
    <x v="2"/>
    <n v="2024"/>
    <n v="-487"/>
  </r>
  <r>
    <d v="2024-03-10T00:00:00"/>
    <x v="0"/>
    <x v="0"/>
    <n v="104"/>
    <n v="752"/>
    <x v="2"/>
    <n v="2024"/>
    <n v="-648"/>
  </r>
  <r>
    <d v="2024-03-11T00:00:00"/>
    <x v="2"/>
    <x v="0"/>
    <n v="523"/>
    <n v="566"/>
    <x v="2"/>
    <n v="2024"/>
    <n v="-43"/>
  </r>
  <r>
    <d v="2024-03-12T00:00:00"/>
    <x v="2"/>
    <x v="0"/>
    <n v="448"/>
    <n v="547"/>
    <x v="2"/>
    <n v="2024"/>
    <n v="-99"/>
  </r>
  <r>
    <d v="2024-03-13T00:00:00"/>
    <x v="3"/>
    <x v="2"/>
    <n v="382"/>
    <n v="548"/>
    <x v="2"/>
    <n v="2024"/>
    <n v="-166"/>
  </r>
  <r>
    <d v="2024-03-14T00:00:00"/>
    <x v="0"/>
    <x v="1"/>
    <n v="686"/>
    <n v="255"/>
    <x v="2"/>
    <n v="2024"/>
    <n v="431"/>
  </r>
  <r>
    <d v="2024-03-15T00:00:00"/>
    <x v="0"/>
    <x v="3"/>
    <n v="920"/>
    <n v="464"/>
    <x v="2"/>
    <n v="2024"/>
    <n v="456"/>
  </r>
  <r>
    <d v="2024-03-16T00:00:00"/>
    <x v="2"/>
    <x v="3"/>
    <n v="533"/>
    <n v="415"/>
    <x v="2"/>
    <n v="2024"/>
    <n v="118"/>
  </r>
  <r>
    <d v="2024-03-17T00:00:00"/>
    <x v="1"/>
    <x v="0"/>
    <n v="319"/>
    <n v="788"/>
    <x v="2"/>
    <n v="2024"/>
    <n v="-469"/>
  </r>
  <r>
    <d v="2024-03-18T00:00:00"/>
    <x v="0"/>
    <x v="3"/>
    <n v="919"/>
    <n v="469"/>
    <x v="2"/>
    <n v="2024"/>
    <n v="450"/>
  </r>
  <r>
    <d v="2024-03-19T00:00:00"/>
    <x v="2"/>
    <x v="2"/>
    <n v="839"/>
    <n v="635"/>
    <x v="2"/>
    <n v="2024"/>
    <n v="204"/>
  </r>
  <r>
    <d v="2024-03-20T00:00:00"/>
    <x v="3"/>
    <x v="1"/>
    <n v="973"/>
    <n v="268"/>
    <x v="2"/>
    <n v="2024"/>
    <n v="705"/>
  </r>
  <r>
    <d v="2024-03-21T00:00:00"/>
    <x v="3"/>
    <x v="2"/>
    <n v="886"/>
    <n v="588"/>
    <x v="2"/>
    <n v="2024"/>
    <n v="298"/>
  </r>
  <r>
    <d v="2024-03-22T00:00:00"/>
    <x v="1"/>
    <x v="2"/>
    <n v="-100"/>
    <n v="424"/>
    <x v="2"/>
    <n v="2024"/>
    <n v="-524"/>
  </r>
  <r>
    <d v="2024-03-23T00:00:00"/>
    <x v="0"/>
    <x v="1"/>
    <n v="390"/>
    <n v="72"/>
    <x v="2"/>
    <n v="2024"/>
    <n v="318"/>
  </r>
  <r>
    <d v="2024-03-24T00:00:00"/>
    <x v="2"/>
    <x v="3"/>
    <n v="663"/>
    <n v="510"/>
    <x v="2"/>
    <n v="2024"/>
    <n v="153"/>
  </r>
  <r>
    <d v="2024-03-25T00:00:00"/>
    <x v="2"/>
    <x v="1"/>
    <n v="770"/>
    <n v="769"/>
    <x v="2"/>
    <n v="2024"/>
    <n v="1"/>
  </r>
  <r>
    <d v="2024-03-26T00:00:00"/>
    <x v="1"/>
    <x v="2"/>
    <n v="537"/>
    <n v="404"/>
    <x v="2"/>
    <n v="2024"/>
    <n v="133"/>
  </r>
  <r>
    <d v="2024-03-27T00:00:00"/>
    <x v="2"/>
    <x v="1"/>
    <n v="926"/>
    <n v="652"/>
    <x v="2"/>
    <n v="2024"/>
    <n v="274"/>
  </r>
  <r>
    <d v="2024-03-28T00:00:00"/>
    <x v="2"/>
    <x v="1"/>
    <n v="923"/>
    <n v="101"/>
    <x v="2"/>
    <n v="2024"/>
    <n v="822"/>
  </r>
  <r>
    <d v="2024-03-29T00:00:00"/>
    <x v="1"/>
    <x v="0"/>
    <n v="608"/>
    <n v="770"/>
    <x v="2"/>
    <n v="2024"/>
    <n v="-162"/>
  </r>
  <r>
    <d v="2024-03-30T00:00:00"/>
    <x v="3"/>
    <x v="0"/>
    <n v="886"/>
    <n v="623"/>
    <x v="2"/>
    <n v="2024"/>
    <n v="263"/>
  </r>
  <r>
    <d v="2024-03-31T00:00:00"/>
    <x v="1"/>
    <x v="2"/>
    <n v="955"/>
    <n v="494"/>
    <x v="2"/>
    <n v="2024"/>
    <n v="461"/>
  </r>
  <r>
    <d v="2024-04-01T00:00:00"/>
    <x v="1"/>
    <x v="2"/>
    <n v="549"/>
    <n v="154"/>
    <x v="3"/>
    <n v="2024"/>
    <n v="395"/>
  </r>
  <r>
    <d v="2024-04-02T00:00:00"/>
    <x v="3"/>
    <x v="3"/>
    <n v="426"/>
    <n v="690"/>
    <x v="3"/>
    <n v="2024"/>
    <n v="-264"/>
  </r>
  <r>
    <d v="2024-04-03T00:00:00"/>
    <x v="3"/>
    <x v="2"/>
    <n v="590"/>
    <n v="444"/>
    <x v="3"/>
    <n v="2024"/>
    <n v="146"/>
  </r>
  <r>
    <d v="2024-04-04T00:00:00"/>
    <x v="1"/>
    <x v="3"/>
    <n v="153"/>
    <n v="377"/>
    <x v="3"/>
    <n v="2024"/>
    <n v="-224"/>
  </r>
  <r>
    <d v="2024-04-05T00:00:00"/>
    <x v="0"/>
    <x v="3"/>
    <n v="916"/>
    <n v="656"/>
    <x v="3"/>
    <n v="2024"/>
    <n v="260"/>
  </r>
  <r>
    <d v="2024-04-06T00:00:00"/>
    <x v="3"/>
    <x v="1"/>
    <n v="194"/>
    <n v="568"/>
    <x v="3"/>
    <n v="2024"/>
    <n v="-374"/>
  </r>
  <r>
    <d v="2024-04-07T00:00:00"/>
    <x v="1"/>
    <x v="1"/>
    <n v="0"/>
    <n v="735"/>
    <x v="3"/>
    <n v="2024"/>
    <n v="-735"/>
  </r>
  <r>
    <d v="2024-04-08T00:00:00"/>
    <x v="2"/>
    <x v="2"/>
    <n v="436"/>
    <n v="295"/>
    <x v="3"/>
    <n v="2024"/>
    <n v="141"/>
  </r>
  <r>
    <d v="2024-04-09T00:00:00"/>
    <x v="0"/>
    <x v="0"/>
    <n v="766"/>
    <n v="464"/>
    <x v="3"/>
    <n v="2024"/>
    <n v="302"/>
  </r>
  <r>
    <d v="2024-04-10T00:00:00"/>
    <x v="2"/>
    <x v="0"/>
    <n v="736"/>
    <n v="577"/>
    <x v="3"/>
    <n v="2024"/>
    <n v="159"/>
  </r>
  <r>
    <d v="2024-04-11T00:00:00"/>
    <x v="3"/>
    <x v="3"/>
    <n v="263"/>
    <n v="219"/>
    <x v="3"/>
    <n v="2024"/>
    <n v="44"/>
  </r>
  <r>
    <d v="2024-04-12T00:00:00"/>
    <x v="0"/>
    <x v="2"/>
    <n v="670"/>
    <n v="216"/>
    <x v="3"/>
    <n v="2024"/>
    <n v="454"/>
  </r>
  <r>
    <d v="2024-04-13T00:00:00"/>
    <x v="1"/>
    <x v="3"/>
    <n v="206"/>
    <n v="359"/>
    <x v="3"/>
    <n v="2024"/>
    <n v="-153"/>
  </r>
  <r>
    <d v="2024-04-14T00:00:00"/>
    <x v="0"/>
    <x v="1"/>
    <n v="301"/>
    <n v="644"/>
    <x v="3"/>
    <n v="2024"/>
    <n v="-343"/>
  </r>
  <r>
    <d v="2024-04-15T00:00:00"/>
    <x v="3"/>
    <x v="2"/>
    <n v="400"/>
    <n v="441"/>
    <x v="3"/>
    <n v="2024"/>
    <n v="-41"/>
  </r>
  <r>
    <d v="2024-04-16T00:00:00"/>
    <x v="0"/>
    <x v="2"/>
    <n v="881"/>
    <n v="270"/>
    <x v="3"/>
    <n v="2024"/>
    <n v="611"/>
  </r>
  <r>
    <d v="2024-04-17T00:00:00"/>
    <x v="1"/>
    <x v="0"/>
    <n v="989"/>
    <n v="731"/>
    <x v="3"/>
    <n v="2024"/>
    <n v="258"/>
  </r>
  <r>
    <d v="2024-04-18T00:00:00"/>
    <x v="1"/>
    <x v="2"/>
    <n v="938"/>
    <n v="164"/>
    <x v="3"/>
    <n v="2024"/>
    <n v="774"/>
  </r>
  <r>
    <d v="2024-04-19T00:00:00"/>
    <x v="0"/>
    <x v="0"/>
    <n v="650"/>
    <n v="384"/>
    <x v="3"/>
    <n v="2024"/>
    <n v="266"/>
  </r>
  <r>
    <d v="2024-04-20T00:00:00"/>
    <x v="1"/>
    <x v="2"/>
    <n v="779"/>
    <n v="791"/>
    <x v="3"/>
    <n v="2024"/>
    <n v="-12"/>
  </r>
  <r>
    <d v="2024-04-21T00:00:00"/>
    <x v="0"/>
    <x v="1"/>
    <n v="748"/>
    <n v="269"/>
    <x v="3"/>
    <n v="2024"/>
    <n v="479"/>
  </r>
  <r>
    <d v="2024-04-22T00:00:00"/>
    <x v="0"/>
    <x v="3"/>
    <n v="113"/>
    <n v="296"/>
    <x v="3"/>
    <n v="2024"/>
    <n v="-183"/>
  </r>
  <r>
    <d v="2024-04-23T00:00:00"/>
    <x v="0"/>
    <x v="0"/>
    <n v="820"/>
    <n v="150"/>
    <x v="3"/>
    <n v="2024"/>
    <n v="670"/>
  </r>
  <r>
    <d v="2024-04-24T00:00:00"/>
    <x v="0"/>
    <x v="0"/>
    <n v="634"/>
    <n v="465"/>
    <x v="3"/>
    <n v="2024"/>
    <n v="169"/>
  </r>
  <r>
    <d v="2024-04-25T00:00:00"/>
    <x v="3"/>
    <x v="2"/>
    <n v="604"/>
    <n v="271"/>
    <x v="3"/>
    <n v="2024"/>
    <n v="333"/>
  </r>
  <r>
    <d v="2024-04-26T00:00:00"/>
    <x v="1"/>
    <x v="2"/>
    <n v="947"/>
    <n v="228"/>
    <x v="3"/>
    <n v="2024"/>
    <n v="719"/>
  </r>
  <r>
    <d v="2024-04-27T00:00:00"/>
    <x v="0"/>
    <x v="2"/>
    <n v="876"/>
    <n v="558"/>
    <x v="3"/>
    <n v="2024"/>
    <n v="318"/>
  </r>
  <r>
    <d v="2024-04-28T00:00:00"/>
    <x v="1"/>
    <x v="0"/>
    <n v="839"/>
    <n v="224"/>
    <x v="3"/>
    <n v="2024"/>
    <n v="615"/>
  </r>
  <r>
    <d v="2024-04-29T00:00:00"/>
    <x v="3"/>
    <x v="0"/>
    <n v="874"/>
    <n v="655"/>
    <x v="3"/>
    <n v="2024"/>
    <n v="219"/>
  </r>
  <r>
    <d v="2024-04-30T00:00:00"/>
    <x v="1"/>
    <x v="0"/>
    <n v="309"/>
    <n v="676"/>
    <x v="3"/>
    <n v="2024"/>
    <n v="-367"/>
  </r>
  <r>
    <d v="2024-05-01T00:00:00"/>
    <x v="1"/>
    <x v="2"/>
    <n v="555"/>
    <n v="723"/>
    <x v="4"/>
    <n v="2024"/>
    <n v="-168"/>
  </r>
  <r>
    <d v="2024-05-02T00:00:00"/>
    <x v="2"/>
    <x v="2"/>
    <n v="568"/>
    <n v="786"/>
    <x v="4"/>
    <n v="2024"/>
    <n v="-218"/>
  </r>
  <r>
    <d v="2024-05-03T00:00:00"/>
    <x v="2"/>
    <x v="1"/>
    <n v="573"/>
    <n v="795"/>
    <x v="4"/>
    <n v="2024"/>
    <n v="-222"/>
  </r>
  <r>
    <d v="2024-05-04T00:00:00"/>
    <x v="2"/>
    <x v="1"/>
    <n v="672"/>
    <n v="116"/>
    <x v="4"/>
    <n v="2024"/>
    <n v="556"/>
  </r>
  <r>
    <d v="2024-05-05T00:00:00"/>
    <x v="0"/>
    <x v="1"/>
    <n v="500"/>
    <n v="506"/>
    <x v="4"/>
    <n v="2024"/>
    <n v="-6"/>
  </r>
  <r>
    <d v="2024-05-06T00:00:00"/>
    <x v="2"/>
    <x v="3"/>
    <n v="156"/>
    <n v="175"/>
    <x v="4"/>
    <n v="2024"/>
    <n v="-19"/>
  </r>
  <r>
    <d v="2024-05-07T00:00:00"/>
    <x v="2"/>
    <x v="2"/>
    <n v="-100"/>
    <n v="188"/>
    <x v="4"/>
    <n v="2024"/>
    <n v="-288"/>
  </r>
  <r>
    <d v="2024-05-08T00:00:00"/>
    <x v="2"/>
    <x v="2"/>
    <n v="849"/>
    <n v="674"/>
    <x v="4"/>
    <n v="2024"/>
    <n v="175"/>
  </r>
  <r>
    <d v="2024-05-09T00:00:00"/>
    <x v="1"/>
    <x v="0"/>
    <n v="763"/>
    <n v="780"/>
    <x v="4"/>
    <n v="2024"/>
    <n v="-17"/>
  </r>
  <r>
    <d v="2024-05-10T00:00:00"/>
    <x v="0"/>
    <x v="1"/>
    <n v="380"/>
    <n v="205"/>
    <x v="4"/>
    <n v="2024"/>
    <n v="175"/>
  </r>
  <r>
    <d v="2024-05-11T00:00:00"/>
    <x v="1"/>
    <x v="2"/>
    <n v="104"/>
    <n v="746"/>
    <x v="4"/>
    <n v="2024"/>
    <n v="-642"/>
  </r>
  <r>
    <d v="2024-05-12T00:00:00"/>
    <x v="2"/>
    <x v="0"/>
    <n v="712"/>
    <n v="170"/>
    <x v="4"/>
    <n v="2024"/>
    <n v="542"/>
  </r>
  <r>
    <d v="2024-05-13T00:00:00"/>
    <x v="3"/>
    <x v="2"/>
    <n v="405"/>
    <n v="371"/>
    <x v="4"/>
    <n v="2024"/>
    <n v="34"/>
  </r>
  <r>
    <d v="2024-05-14T00:00:00"/>
    <x v="0"/>
    <x v="2"/>
    <n v="443"/>
    <n v="498"/>
    <x v="4"/>
    <n v="2024"/>
    <n v="-55"/>
  </r>
  <r>
    <d v="2024-05-15T00:00:00"/>
    <x v="2"/>
    <x v="0"/>
    <n v="0"/>
    <n v="759"/>
    <x v="4"/>
    <n v="2024"/>
    <n v="-759"/>
  </r>
  <r>
    <d v="2024-05-16T00:00:00"/>
    <x v="3"/>
    <x v="0"/>
    <n v="666"/>
    <n v="340"/>
    <x v="4"/>
    <n v="2024"/>
    <n v="326"/>
  </r>
  <r>
    <d v="2024-05-17T00:00:00"/>
    <x v="0"/>
    <x v="0"/>
    <n v="253"/>
    <n v="53"/>
    <x v="4"/>
    <n v="2024"/>
    <n v="200"/>
  </r>
  <r>
    <d v="2024-05-18T00:00:00"/>
    <x v="3"/>
    <x v="3"/>
    <n v="888"/>
    <n v="750"/>
    <x v="4"/>
    <n v="2024"/>
    <n v="138"/>
  </r>
  <r>
    <d v="2024-05-19T00:00:00"/>
    <x v="0"/>
    <x v="1"/>
    <n v="453"/>
    <n v="288"/>
    <x v="4"/>
    <n v="2024"/>
    <n v="165"/>
  </r>
  <r>
    <d v="2024-05-20T00:00:00"/>
    <x v="2"/>
    <x v="1"/>
    <n v="457"/>
    <n v="727"/>
    <x v="4"/>
    <n v="2024"/>
    <n v="-270"/>
  </r>
  <r>
    <d v="2024-05-21T00:00:00"/>
    <x v="1"/>
    <x v="3"/>
    <n v="797"/>
    <n v="221"/>
    <x v="4"/>
    <n v="2024"/>
    <n v="576"/>
  </r>
  <r>
    <d v="2024-05-22T00:00:00"/>
    <x v="3"/>
    <x v="0"/>
    <n v="507"/>
    <n v="773"/>
    <x v="4"/>
    <n v="2024"/>
    <n v="-266"/>
  </r>
  <r>
    <d v="2024-05-23T00:00:00"/>
    <x v="3"/>
    <x v="0"/>
    <n v="511"/>
    <n v="632"/>
    <x v="4"/>
    <n v="2024"/>
    <n v="-121"/>
  </r>
  <r>
    <d v="2024-05-24T00:00:00"/>
    <x v="2"/>
    <x v="3"/>
    <n v="129"/>
    <n v="710"/>
    <x v="4"/>
    <n v="2024"/>
    <n v="-581"/>
  </r>
  <r>
    <d v="2024-05-25T00:00:00"/>
    <x v="0"/>
    <x v="2"/>
    <n v="471"/>
    <n v="677"/>
    <x v="4"/>
    <n v="2024"/>
    <n v="-206"/>
  </r>
  <r>
    <d v="2024-05-26T00:00:00"/>
    <x v="1"/>
    <x v="3"/>
    <n v="0"/>
    <n v="654"/>
    <x v="4"/>
    <n v="2024"/>
    <n v="-654"/>
  </r>
  <r>
    <d v="2024-05-27T00:00:00"/>
    <x v="2"/>
    <x v="3"/>
    <n v="731"/>
    <n v="664"/>
    <x v="4"/>
    <n v="2024"/>
    <n v="67"/>
  </r>
  <r>
    <d v="2024-05-28T00:00:00"/>
    <x v="2"/>
    <x v="2"/>
    <n v="954"/>
    <n v="429"/>
    <x v="4"/>
    <n v="2024"/>
    <n v="525"/>
  </r>
  <r>
    <d v="2024-05-29T00:00:00"/>
    <x v="1"/>
    <x v="1"/>
    <n v="602"/>
    <n v="759"/>
    <x v="4"/>
    <n v="2024"/>
    <n v="-157"/>
  </r>
  <r>
    <d v="2024-05-30T00:00:00"/>
    <x v="0"/>
    <x v="0"/>
    <n v="107"/>
    <n v="159"/>
    <x v="4"/>
    <n v="2024"/>
    <n v="-52"/>
  </r>
  <r>
    <d v="2024-05-31T00:00:00"/>
    <x v="3"/>
    <x v="1"/>
    <n v="717"/>
    <n v="379"/>
    <x v="4"/>
    <n v="2024"/>
    <n v="338"/>
  </r>
  <r>
    <d v="2024-06-01T00:00:00"/>
    <x v="3"/>
    <x v="0"/>
    <n v="0"/>
    <n v="150"/>
    <x v="5"/>
    <n v="2024"/>
    <n v="-150"/>
  </r>
  <r>
    <d v="2024-06-02T00:00:00"/>
    <x v="1"/>
    <x v="1"/>
    <n v="794"/>
    <n v="744"/>
    <x v="5"/>
    <n v="2024"/>
    <n v="50"/>
  </r>
  <r>
    <d v="2024-06-03T00:00:00"/>
    <x v="3"/>
    <x v="3"/>
    <n v="996"/>
    <n v="557"/>
    <x v="5"/>
    <n v="2024"/>
    <n v="439"/>
  </r>
  <r>
    <d v="2024-06-04T00:00:00"/>
    <x v="1"/>
    <x v="1"/>
    <n v="951"/>
    <n v="721"/>
    <x v="5"/>
    <n v="2024"/>
    <n v="230"/>
  </r>
  <r>
    <d v="2024-06-05T00:00:00"/>
    <x v="1"/>
    <x v="3"/>
    <n v="476"/>
    <n v="643"/>
    <x v="5"/>
    <n v="2024"/>
    <n v="-167"/>
  </r>
  <r>
    <d v="2024-06-06T00:00:00"/>
    <x v="1"/>
    <x v="0"/>
    <n v="821"/>
    <n v="85"/>
    <x v="5"/>
    <n v="2024"/>
    <n v="736"/>
  </r>
  <r>
    <d v="2024-06-07T00:00:00"/>
    <x v="3"/>
    <x v="0"/>
    <n v="248"/>
    <n v="287"/>
    <x v="5"/>
    <n v="2024"/>
    <n v="-39"/>
  </r>
  <r>
    <d v="2024-06-08T00:00:00"/>
    <x v="2"/>
    <x v="0"/>
    <n v="985"/>
    <n v="293"/>
    <x v="5"/>
    <n v="2024"/>
    <n v="692"/>
  </r>
  <r>
    <d v="2024-06-09T00:00:00"/>
    <x v="3"/>
    <x v="3"/>
    <n v="359"/>
    <n v="300"/>
    <x v="5"/>
    <n v="2024"/>
    <n v="59"/>
  </r>
  <r>
    <d v="2024-06-10T00:00:00"/>
    <x v="3"/>
    <x v="2"/>
    <n v="-100"/>
    <n v="442"/>
    <x v="5"/>
    <n v="2024"/>
    <n v="-542"/>
  </r>
  <r>
    <d v="2024-06-11T00:00:00"/>
    <x v="1"/>
    <x v="3"/>
    <n v="910"/>
    <n v="331"/>
    <x v="5"/>
    <n v="2024"/>
    <n v="579"/>
  </r>
  <r>
    <d v="2024-06-12T00:00:00"/>
    <x v="3"/>
    <x v="2"/>
    <n v="677"/>
    <n v="71"/>
    <x v="5"/>
    <n v="2024"/>
    <n v="606"/>
  </r>
  <r>
    <d v="2024-06-13T00:00:00"/>
    <x v="1"/>
    <x v="3"/>
    <n v="0"/>
    <n v="479"/>
    <x v="5"/>
    <n v="2024"/>
    <n v="-479"/>
  </r>
  <r>
    <d v="2024-06-14T00:00:00"/>
    <x v="1"/>
    <x v="3"/>
    <n v="904"/>
    <n v="279"/>
    <x v="5"/>
    <n v="2024"/>
    <n v="625"/>
  </r>
  <r>
    <d v="2024-06-15T00:00:00"/>
    <x v="3"/>
    <x v="3"/>
    <n v="424"/>
    <n v="450"/>
    <x v="5"/>
    <n v="2024"/>
    <n v="-26"/>
  </r>
  <r>
    <d v="2024-06-16T00:00:00"/>
    <x v="3"/>
    <x v="3"/>
    <n v="212"/>
    <n v="203"/>
    <x v="5"/>
    <n v="2024"/>
    <n v="9"/>
  </r>
  <r>
    <d v="2024-06-17T00:00:00"/>
    <x v="1"/>
    <x v="0"/>
    <n v="0"/>
    <n v="169"/>
    <x v="5"/>
    <n v="2024"/>
    <n v="-169"/>
  </r>
  <r>
    <d v="2024-06-18T00:00:00"/>
    <x v="0"/>
    <x v="2"/>
    <n v="337"/>
    <n v="727"/>
    <x v="5"/>
    <n v="2024"/>
    <n v="-390"/>
  </r>
  <r>
    <d v="2024-06-19T00:00:00"/>
    <x v="2"/>
    <x v="2"/>
    <n v="460"/>
    <n v="435"/>
    <x v="5"/>
    <n v="2024"/>
    <n v="25"/>
  </r>
  <r>
    <d v="2024-06-20T00:00:00"/>
    <x v="3"/>
    <x v="3"/>
    <n v="959"/>
    <n v="439"/>
    <x v="5"/>
    <n v="2024"/>
    <n v="520"/>
  </r>
  <r>
    <d v="2024-06-21T00:00:00"/>
    <x v="1"/>
    <x v="2"/>
    <n v="655"/>
    <n v="760"/>
    <x v="5"/>
    <n v="2024"/>
    <n v="-105"/>
  </r>
  <r>
    <d v="2024-06-22T00:00:00"/>
    <x v="3"/>
    <x v="1"/>
    <n v="163"/>
    <n v="446"/>
    <x v="5"/>
    <n v="2024"/>
    <n v="-283"/>
  </r>
  <r>
    <d v="2024-06-23T00:00:00"/>
    <x v="2"/>
    <x v="1"/>
    <n v="554"/>
    <n v="396"/>
    <x v="5"/>
    <n v="2024"/>
    <n v="158"/>
  </r>
  <r>
    <d v="2024-06-24T00:00:00"/>
    <x v="3"/>
    <x v="0"/>
    <n v="365"/>
    <n v="636"/>
    <x v="5"/>
    <n v="2024"/>
    <n v="-271"/>
  </r>
  <r>
    <d v="2024-06-25T00:00:00"/>
    <x v="2"/>
    <x v="0"/>
    <n v="544"/>
    <n v="128"/>
    <x v="5"/>
    <n v="2024"/>
    <n v="416"/>
  </r>
  <r>
    <d v="2024-06-26T00:00:00"/>
    <x v="0"/>
    <x v="0"/>
    <n v="0"/>
    <n v="634"/>
    <x v="5"/>
    <n v="2024"/>
    <n v="-634"/>
  </r>
  <r>
    <d v="2024-06-27T00:00:00"/>
    <x v="3"/>
    <x v="1"/>
    <n v="723"/>
    <n v="249"/>
    <x v="5"/>
    <n v="2024"/>
    <n v="474"/>
  </r>
  <r>
    <d v="2024-06-28T00:00:00"/>
    <x v="3"/>
    <x v="0"/>
    <n v="519"/>
    <n v="183"/>
    <x v="5"/>
    <n v="2024"/>
    <n v="336"/>
  </r>
  <r>
    <d v="2024-06-29T00:00:00"/>
    <x v="1"/>
    <x v="0"/>
    <n v="439"/>
    <n v="609"/>
    <x v="5"/>
    <n v="2024"/>
    <n v="-170"/>
  </r>
  <r>
    <d v="2024-06-30T00:00:00"/>
    <x v="0"/>
    <x v="3"/>
    <n v="-100"/>
    <n v="749"/>
    <x v="5"/>
    <n v="2024"/>
    <n v="-849"/>
  </r>
  <r>
    <d v="2024-07-01T00:00:00"/>
    <x v="1"/>
    <x v="0"/>
    <n v="374"/>
    <n v="220"/>
    <x v="6"/>
    <n v="2024"/>
    <n v="154"/>
  </r>
  <r>
    <d v="2024-07-02T00:00:00"/>
    <x v="3"/>
    <x v="1"/>
    <n v="0"/>
    <n v="501"/>
    <x v="6"/>
    <n v="2024"/>
    <n v="-501"/>
  </r>
  <r>
    <d v="2024-07-03T00:00:00"/>
    <x v="1"/>
    <x v="0"/>
    <n v="942"/>
    <n v="188"/>
    <x v="6"/>
    <n v="2024"/>
    <n v="754"/>
  </r>
  <r>
    <d v="2024-07-04T00:00:00"/>
    <x v="0"/>
    <x v="0"/>
    <n v="326"/>
    <n v="363"/>
    <x v="6"/>
    <n v="2024"/>
    <n v="-37"/>
  </r>
  <r>
    <d v="2024-07-05T00:00:00"/>
    <x v="0"/>
    <x v="3"/>
    <n v="325"/>
    <n v="525"/>
    <x v="6"/>
    <n v="2024"/>
    <n v="-200"/>
  </r>
  <r>
    <d v="2024-07-06T00:00:00"/>
    <x v="3"/>
    <x v="3"/>
    <n v="743"/>
    <n v="395"/>
    <x v="6"/>
    <n v="2024"/>
    <n v="348"/>
  </r>
  <r>
    <d v="2024-07-07T00:00:00"/>
    <x v="0"/>
    <x v="0"/>
    <n v="328"/>
    <n v="437"/>
    <x v="6"/>
    <n v="2024"/>
    <n v="-109"/>
  </r>
  <r>
    <d v="2024-07-08T00:00:00"/>
    <x v="3"/>
    <x v="0"/>
    <n v="926"/>
    <n v="175"/>
    <x v="6"/>
    <n v="2024"/>
    <n v="751"/>
  </r>
  <r>
    <d v="2024-07-09T00:00:00"/>
    <x v="1"/>
    <x v="1"/>
    <n v="997"/>
    <n v="768"/>
    <x v="6"/>
    <n v="2024"/>
    <n v="229"/>
  </r>
  <r>
    <d v="2024-07-10T00:00:00"/>
    <x v="3"/>
    <x v="2"/>
    <n v="469"/>
    <n v="247"/>
    <x v="6"/>
    <n v="2024"/>
    <n v="222"/>
  </r>
  <r>
    <d v="2024-07-11T00:00:00"/>
    <x v="3"/>
    <x v="2"/>
    <n v="228"/>
    <n v="748"/>
    <x v="6"/>
    <n v="2024"/>
    <n v="-520"/>
  </r>
  <r>
    <d v="2024-07-12T00:00:00"/>
    <x v="1"/>
    <x v="0"/>
    <n v="907"/>
    <n v="67"/>
    <x v="6"/>
    <n v="2024"/>
    <n v="840"/>
  </r>
  <r>
    <d v="2024-07-13T00:00:00"/>
    <x v="0"/>
    <x v="2"/>
    <n v="124"/>
    <n v="759"/>
    <x v="6"/>
    <n v="2024"/>
    <n v="-635"/>
  </r>
  <r>
    <d v="2024-07-14T00:00:00"/>
    <x v="0"/>
    <x v="2"/>
    <n v="798"/>
    <n v="497"/>
    <x v="6"/>
    <n v="2024"/>
    <n v="301"/>
  </r>
  <r>
    <d v="2024-07-15T00:00:00"/>
    <x v="0"/>
    <x v="2"/>
    <n v="392"/>
    <n v="400"/>
    <x v="6"/>
    <n v="2024"/>
    <n v="-8"/>
  </r>
  <r>
    <d v="2024-07-16T00:00:00"/>
    <x v="2"/>
    <x v="1"/>
    <n v="455"/>
    <n v="714"/>
    <x v="6"/>
    <n v="2024"/>
    <n v="-259"/>
  </r>
  <r>
    <d v="2024-07-17T00:00:00"/>
    <x v="3"/>
    <x v="1"/>
    <n v="937"/>
    <n v="693"/>
    <x v="6"/>
    <n v="2024"/>
    <n v="244"/>
  </r>
  <r>
    <d v="2024-07-18T00:00:00"/>
    <x v="0"/>
    <x v="0"/>
    <n v="234"/>
    <n v="375"/>
    <x v="6"/>
    <n v="2024"/>
    <n v="-141"/>
  </r>
  <r>
    <d v="2024-01-12T00:00:00"/>
    <x v="3"/>
    <x v="2"/>
    <n v="957"/>
    <n v="487"/>
    <x v="0"/>
    <n v="2024"/>
    <n v="470"/>
  </r>
  <r>
    <d v="2024-05-21T00:00:00"/>
    <x v="1"/>
    <x v="3"/>
    <n v="797"/>
    <n v="221"/>
    <x v="4"/>
    <n v="2024"/>
    <n v="576"/>
  </r>
  <r>
    <d v="2024-01-09T00:00:00"/>
    <x v="2"/>
    <x v="3"/>
    <n v="274"/>
    <n v="298"/>
    <x v="0"/>
    <n v="2024"/>
    <n v="-24"/>
  </r>
  <r>
    <d v="2024-03-10T00:00:00"/>
    <x v="0"/>
    <x v="0"/>
    <n v="104"/>
    <n v="752"/>
    <x v="2"/>
    <n v="2024"/>
    <n v="-648"/>
  </r>
  <r>
    <d v="2024-04-04T00:00:00"/>
    <x v="1"/>
    <x v="3"/>
    <n v="153"/>
    <n v="377"/>
    <x v="3"/>
    <n v="2024"/>
    <n v="-2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488F9B-27D9-4606-A350-3533E2E6A286}"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1:I6" firstHeaderRow="1" firstDataRow="1" firstDataCol="1"/>
  <pivotFields count="8">
    <pivotField numFmtId="22" showAll="0"/>
    <pivotField showAll="0">
      <items count="5">
        <item x="3"/>
        <item x="0"/>
        <item x="2"/>
        <item x="1"/>
        <item t="default"/>
      </items>
    </pivotField>
    <pivotField axis="axisRow" showAll="0">
      <items count="5">
        <item x="3"/>
        <item x="0"/>
        <item x="1"/>
        <item x="2"/>
        <item t="default"/>
      </items>
    </pivotField>
    <pivotField dataField="1" showAll="0"/>
    <pivotField showAll="0"/>
    <pivotField showAll="0">
      <items count="8">
        <item x="0"/>
        <item x="1"/>
        <item x="2"/>
        <item x="3"/>
        <item x="4"/>
        <item x="5"/>
        <item x="6"/>
        <item t="default"/>
      </items>
    </pivotField>
    <pivotField showAll="0"/>
    <pivotField showAll="0"/>
  </pivotFields>
  <rowFields count="1">
    <field x="2"/>
  </rowFields>
  <rowItems count="5">
    <i>
      <x/>
    </i>
    <i>
      <x v="1"/>
    </i>
    <i>
      <x v="2"/>
    </i>
    <i>
      <x v="3"/>
    </i>
    <i t="grand">
      <x/>
    </i>
  </rowItems>
  <colItems count="1">
    <i/>
  </colItems>
  <dataFields count="1">
    <dataField name="Sum of Sales" fld="3"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1EDBB3-78BE-4387-A26E-0B6E6445EC7C}"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1:E9" firstHeaderRow="1" firstDataRow="1" firstDataCol="1"/>
  <pivotFields count="8">
    <pivotField numFmtId="22" showAll="0"/>
    <pivotField showAll="0">
      <items count="5">
        <item x="3"/>
        <item x="0"/>
        <item x="2"/>
        <item x="1"/>
        <item t="default"/>
      </items>
    </pivotField>
    <pivotField showAll="0"/>
    <pivotField dataField="1" showAll="0"/>
    <pivotField showAll="0"/>
    <pivotField axis="axisRow" showAll="0">
      <items count="8">
        <item x="0"/>
        <item x="1"/>
        <item x="2"/>
        <item x="3"/>
        <item x="4"/>
        <item x="5"/>
        <item x="6"/>
        <item t="default"/>
      </items>
    </pivotField>
    <pivotField showAll="0"/>
    <pivotField showAll="0"/>
  </pivotFields>
  <rowFields count="1">
    <field x="5"/>
  </rowFields>
  <rowItems count="8">
    <i>
      <x/>
    </i>
    <i>
      <x v="1"/>
    </i>
    <i>
      <x v="2"/>
    </i>
    <i>
      <x v="3"/>
    </i>
    <i>
      <x v="4"/>
    </i>
    <i>
      <x v="5"/>
    </i>
    <i>
      <x v="6"/>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85C2CB-63B9-428D-974A-46DB2AE84E1E}"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6" firstHeaderRow="1" firstDataRow="1" firstDataCol="1"/>
  <pivotFields count="8">
    <pivotField numFmtId="22" showAll="0"/>
    <pivotField axis="axisRow" showAll="0">
      <items count="5">
        <item x="3"/>
        <item x="0"/>
        <item x="2"/>
        <item x="1"/>
        <item t="default"/>
      </items>
    </pivotField>
    <pivotField showAll="0"/>
    <pivotField dataField="1" showAll="0"/>
    <pivotField showAll="0"/>
    <pivotField showAll="0"/>
    <pivotField showAll="0"/>
    <pivotField showAll="0"/>
  </pivotFields>
  <rowFields count="1">
    <field x="1"/>
  </rowFields>
  <rowItems count="5">
    <i>
      <x/>
    </i>
    <i>
      <x v="1"/>
    </i>
    <i>
      <x v="2"/>
    </i>
    <i>
      <x v="3"/>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8B4A25D-D35D-482E-AE83-CA2A84435A39}" autoFormatId="16" applyNumberFormats="0" applyBorderFormats="0" applyFontFormats="0" applyPatternFormats="0" applyAlignmentFormats="0" applyWidthHeightFormats="0">
  <queryTableRefresh nextId="9" unboundColumnsRight="1">
    <queryTableFields count="8">
      <queryTableField id="1" name="Date" tableColumnId="1"/>
      <queryTableField id="2" name="Region" tableColumnId="2"/>
      <queryTableField id="3" name="Product" tableColumnId="3"/>
      <queryTableField id="4" name="Sales" tableColumnId="4"/>
      <queryTableField id="5" name="Cost" tableColumnId="5"/>
      <queryTableField id="6" name="Month" tableColumnId="6"/>
      <queryTableField id="7" name="Year" tableColumnId="7"/>
      <queryTableField id="8" dataBound="0"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5" xr16:uid="{0A95F569-0150-4B8C-A7C6-2CF128C3C2E7}" autoFormatId="16" applyNumberFormats="0" applyBorderFormats="0" applyFontFormats="0" applyPatternFormats="0" applyAlignmentFormats="0" applyWidthHeightFormats="0">
  <queryTableRefresh nextId="9">
    <queryTableFields count="8">
      <queryTableField id="1" name="Date" tableColumnId="1"/>
      <queryTableField id="2" name="Region" tableColumnId="2"/>
      <queryTableField id="3" name="Product" tableColumnId="3"/>
      <queryTableField id="4" name="Sales" tableColumnId="4"/>
      <queryTableField id="5" name="Cost" tableColumnId="5"/>
      <queryTableField id="6" name="Month" tableColumnId="6"/>
      <queryTableField id="7" name="Year" tableColumnId="7"/>
      <queryTableField id="8" name="Issue type"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6" xr16:uid="{AE679585-E042-4AA0-919E-CC35CC7113B4}" autoFormatId="16" applyNumberFormats="0" applyBorderFormats="0" applyFontFormats="0" applyPatternFormats="0" applyAlignmentFormats="0" applyWidthHeightFormats="0">
  <queryTableRefresh nextId="9">
    <queryTableFields count="8">
      <queryTableField id="1" name="Date" tableColumnId="1"/>
      <queryTableField id="2" name="Region" tableColumnId="2"/>
      <queryTableField id="3" name="Product" tableColumnId="3"/>
      <queryTableField id="4" name="Sales" tableColumnId="4"/>
      <queryTableField id="5" name="Cost" tableColumnId="5"/>
      <queryTableField id="6" name="Month" tableColumnId="6"/>
      <queryTableField id="7" name="Year" tableColumnId="7"/>
      <queryTableField id="8" name="Issue type"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A8270819-77D9-4AFA-8B68-391446F56F56}" autoFormatId="16" applyNumberFormats="0" applyBorderFormats="0" applyFontFormats="0" applyPatternFormats="0" applyAlignmentFormats="0" applyWidthHeightFormats="0">
  <queryTableRefresh nextId="9">
    <queryTableFields count="8">
      <queryTableField id="1" name="Date" tableColumnId="1"/>
      <queryTableField id="2" name="Region" tableColumnId="2"/>
      <queryTableField id="3" name="Product" tableColumnId="3"/>
      <queryTableField id="4" name="Sales" tableColumnId="4"/>
      <queryTableField id="5" name="Cost" tableColumnId="5"/>
      <queryTableField id="6" name="Month" tableColumnId="6"/>
      <queryTableField id="7" name="Year" tableColumnId="7"/>
      <queryTableField id="8" name="Issue Type" tableColumn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3" xr16:uid="{CD9110F8-E2D4-477F-BBF9-88D3451F14CC}" autoFormatId="16" applyNumberFormats="0" applyBorderFormats="0" applyFontFormats="0" applyPatternFormats="0" applyAlignmentFormats="0" applyWidthHeightFormats="0">
  <queryTableRefresh nextId="9">
    <queryTableFields count="8">
      <queryTableField id="1" name="Date" tableColumnId="1"/>
      <queryTableField id="2" name="Region" tableColumnId="2"/>
      <queryTableField id="3" name="Product" tableColumnId="3"/>
      <queryTableField id="4" name="Sales" tableColumnId="4"/>
      <queryTableField id="5" name="Cost" tableColumnId="5"/>
      <queryTableField id="6" name="Month" tableColumnId="6"/>
      <queryTableField id="7" name="Year" tableColumnId="7"/>
      <queryTableField id="8" name="Issue type"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723B010-DAB3-4793-8DD0-21D1D3E31D27}" sourceName="Region">
  <pivotTables>
    <pivotTable tabId="1" name="PivotTable3"/>
  </pivotTables>
  <data>
    <tabular pivotCacheId="1480519280">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9DB3CE0-55EF-47CE-8E1E-E979E25D63F8}" sourceName="Product">
  <pivotTables>
    <pivotTable tabId="1" name="PivotTable3"/>
  </pivotTables>
  <data>
    <tabular pivotCacheId="1480519280">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4016E2B-C6CA-47E8-9ECF-FC75BFB60215}" sourceName="Month">
  <pivotTables>
    <pivotTable tabId="1" name="PivotTable3"/>
  </pivotTables>
  <data>
    <tabular pivotCacheId="1480519280">
      <items count="7">
        <i x="0" s="1"/>
        <i x="1" s="1"/>
        <i x="2" s="1"/>
        <i x="3" s="1"/>
        <i x="4" s="1"/>
        <i x="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DD6CB59-8574-4E60-B637-78A5E86A84DA}" cache="Slicer_Region" caption="Region" rowHeight="257175"/>
  <slicer name="Product" xr10:uid="{C92AFAE1-7EA1-408B-86DF-9F8C77E4F4EA}" cache="Slicer_Product" caption="Product" rowHeight="257175"/>
  <slicer name="Month" xr10:uid="{2E93DC93-7455-4705-A746-283881D9596C}" cache="Slicer_Month" caption="Month"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6BABA4-92AC-4B62-9573-036CB508DAB6}" name="query" displayName="query" ref="A1:H206" tableType="queryTable" totalsRowShown="0">
  <autoFilter ref="A1:H206" xr:uid="{7C6BABA4-92AC-4B62-9573-036CB508DAB6}"/>
  <tableColumns count="8">
    <tableColumn id="1" xr3:uid="{31BC1BAB-8D2A-4BF6-86D3-4FBB9FCACA60}" uniqueName="1" name="Date" queryTableFieldId="1" dataDxfId="41"/>
    <tableColumn id="2" xr3:uid="{47882F51-E744-441F-B0DA-E9B6833A624D}" uniqueName="2" name="Region" queryTableFieldId="2" dataDxfId="40"/>
    <tableColumn id="3" xr3:uid="{681624F4-DD27-41C9-A38C-E0395739FBC1}" uniqueName="3" name="Product" queryTableFieldId="3" dataDxfId="39"/>
    <tableColumn id="4" xr3:uid="{5F3B6363-879E-4F11-A5FD-7D9D6B421B77}" uniqueName="4" name="Sales" queryTableFieldId="4"/>
    <tableColumn id="5" xr3:uid="{1BBC7018-53AB-48CF-8F22-32DE469C9D65}" uniqueName="5" name="Cost" queryTableFieldId="5"/>
    <tableColumn id="6" xr3:uid="{B8C65E50-9199-4FC0-8A9C-7F314080DC22}" uniqueName="6" name="Month" queryTableFieldId="6" dataDxfId="38"/>
    <tableColumn id="7" xr3:uid="{71F78819-E527-443D-BEDB-B654A63298BF}" uniqueName="7" name="Year" queryTableFieldId="7"/>
    <tableColumn id="8" xr3:uid="{951EFFC9-5354-4DE6-AC6C-7D126A6700E4}" uniqueName="8" name="Profit" queryTableFieldId="8" dataDxfId="37">
      <calculatedColumnFormula>D2-E2</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8D7F820-308E-4C62-9D64-1B1D1716CC5F}" name="Table2" displayName="Table2" ref="A1:B6" totalsRowShown="0" headerRowDxfId="1" dataDxfId="0">
  <autoFilter ref="A1:B6" xr:uid="{38D7F820-308E-4C62-9D64-1B1D1716CC5F}"/>
  <tableColumns count="2">
    <tableColumn id="1" xr3:uid="{7EAFCAC4-263D-4499-A80A-5E83F11D3471}" name="Metrics" dataDxfId="3"/>
    <tableColumn id="2" xr3:uid="{3D05C36D-11DB-4CEF-BAC4-3C5488A20CE9}" name="Values" dataDxfId="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8CA7FA8-52C5-44DC-9C95-27123F00715C}" name="Table3" displayName="Table3" ref="A1:D4" totalsRowShown="0" headerRowDxfId="5" dataDxfId="4">
  <autoFilter ref="A1:D4" xr:uid="{A8CA7FA8-52C5-44DC-9C95-27123F00715C}"/>
  <tableColumns count="4">
    <tableColumn id="1" xr3:uid="{7C07A093-3716-46C3-BD23-0D8ACB3078C5}" name="Metric" dataDxfId="9"/>
    <tableColumn id="2" xr3:uid="{B5CF686D-85A3-4AB1-84FE-9D9AE71E9EB6}" name="Raw Data" dataDxfId="8"/>
    <tableColumn id="3" xr3:uid="{06B7DB98-36A0-410F-883B-F4F946AA9978}" name="Clean data" dataDxfId="7"/>
    <tableColumn id="4" xr3:uid="{A0983D0B-C749-4EE5-BA90-1AC837524E6A}" name="Difference" dataDxfId="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142FD3D-659C-48E5-A9E1-563DB38A5299}" name="query_exception_log" displayName="query_exception_log" ref="A1:H25" tableType="queryTable" totalsRowShown="0" headerRowDxfId="11" dataDxfId="10">
  <autoFilter ref="A1:H25" xr:uid="{F142FD3D-659C-48E5-A9E1-563DB38A5299}"/>
  <tableColumns count="8">
    <tableColumn id="1" xr3:uid="{94687D8A-0CEC-491C-911E-C2941D645EFD}" uniqueName="1" name="Date" queryTableFieldId="1" dataDxfId="19"/>
    <tableColumn id="2" xr3:uid="{BBEC8EF9-3173-4908-812E-178C9579021F}" uniqueName="2" name="Region" queryTableFieldId="2" dataDxfId="18"/>
    <tableColumn id="3" xr3:uid="{927AEF46-AB95-40B2-A6AA-6FB35AE062D4}" uniqueName="3" name="Product" queryTableFieldId="3" dataDxfId="17"/>
    <tableColumn id="4" xr3:uid="{55673FD4-20E6-4B50-A954-5D7CB036DD1C}" uniqueName="4" name="Sales" queryTableFieldId="4" dataDxfId="16"/>
    <tableColumn id="5" xr3:uid="{DFBF672E-6641-482B-8B19-E5EF67428C6D}" uniqueName="5" name="Cost" queryTableFieldId="5" dataDxfId="15"/>
    <tableColumn id="6" xr3:uid="{A57531E0-1EAA-4DA9-89DE-A67CB5BA4A09}" uniqueName="6" name="Month" queryTableFieldId="6" dataDxfId="14"/>
    <tableColumn id="7" xr3:uid="{61A54111-9FB9-48B1-83ED-CAF3870F7EAC}" uniqueName="7" name="Year" queryTableFieldId="7" dataDxfId="13"/>
    <tableColumn id="8" xr3:uid="{C44BDF8B-80D5-40D3-9B69-A45A7A06B245}" uniqueName="8" name="Issue type" queryTableFieldId="8" dataDxfId="1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F90E121-4677-48BB-BC70-65630224BDB1}" name="query_null_sales" displayName="query_null_sales" ref="A1:H10" tableType="queryTable" totalsRowShown="0">
  <autoFilter ref="A1:H10" xr:uid="{FF90E121-4677-48BB-BC70-65630224BDB1}"/>
  <tableColumns count="8">
    <tableColumn id="1" xr3:uid="{FB0AA2CD-0051-4E0F-9331-536B4662ACC2}" uniqueName="1" name="Date" queryTableFieldId="1" dataDxfId="36"/>
    <tableColumn id="2" xr3:uid="{CE8D9F3B-8596-4208-B73D-7FE82C148D3D}" uniqueName="2" name="Region" queryTableFieldId="2" dataDxfId="35"/>
    <tableColumn id="3" xr3:uid="{95AE5735-7D33-4CC2-B377-564F6898C4AA}" uniqueName="3" name="Product" queryTableFieldId="3" dataDxfId="34"/>
    <tableColumn id="4" xr3:uid="{2B7355E8-AC15-495F-BE64-5E743333E892}" uniqueName="4" name="Sales" queryTableFieldId="4"/>
    <tableColumn id="5" xr3:uid="{B4AB949A-FBBD-445B-A93B-8BA1FFEB0F48}" uniqueName="5" name="Cost" queryTableFieldId="5"/>
    <tableColumn id="6" xr3:uid="{8CDDC195-EE82-45E8-8C00-47F021CF9182}" uniqueName="6" name="Month" queryTableFieldId="6" dataDxfId="33"/>
    <tableColumn id="7" xr3:uid="{ED0AA466-7F83-4114-A42D-2790FA7B4B94}" uniqueName="7" name="Year" queryTableFieldId="7"/>
    <tableColumn id="8" xr3:uid="{61EE5957-9F95-42D3-9A80-5D567ACC10C2}" uniqueName="8" name="Issue type" queryTableFieldId="8"/>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6CEFE75-8A7F-4484-96FB-47174655637B}" name="query__negative_sales" displayName="query__negative_sales" ref="A1:H6" tableType="queryTable" totalsRowShown="0">
  <autoFilter ref="A1:H6" xr:uid="{76CEFE75-8A7F-4484-96FB-47174655637B}"/>
  <tableColumns count="8">
    <tableColumn id="1" xr3:uid="{1AADC963-1856-4076-A0B9-E0BC7BE63AB5}" uniqueName="1" name="Date" queryTableFieldId="1" dataDxfId="28"/>
    <tableColumn id="2" xr3:uid="{13B2404C-FAA6-4807-8A74-B6D9BD0AF289}" uniqueName="2" name="Region" queryTableFieldId="2" dataDxfId="27"/>
    <tableColumn id="3" xr3:uid="{1F26237A-7AEF-4DB7-B088-A261ED1B6797}" uniqueName="3" name="Product" queryTableFieldId="3" dataDxfId="26"/>
    <tableColumn id="4" xr3:uid="{ACC54220-E079-4B76-A193-57FE6BFA8396}" uniqueName="4" name="Sales" queryTableFieldId="4"/>
    <tableColumn id="5" xr3:uid="{7E0A67B6-C148-4D19-B52A-D799DE065214}" uniqueName="5" name="Cost" queryTableFieldId="5"/>
    <tableColumn id="6" xr3:uid="{A6EDA02C-DC6A-432F-BCAE-ECC05E857E10}" uniqueName="6" name="Month" queryTableFieldId="6" dataDxfId="25"/>
    <tableColumn id="7" xr3:uid="{536A5855-6C1D-454F-90FC-A3CA3138BEB9}" uniqueName="7" name="Year" queryTableFieldId="7"/>
    <tableColumn id="8" xr3:uid="{F6197FAD-D5D9-4F2E-AABB-3152E76A0D16}" uniqueName="8" name="Issue type" queryTableFieldId="8"/>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7DAD246-B726-41A9-91DA-47B0A3E9C46B}" name="query_duplicates" displayName="query_duplicates" ref="A1:H11" tableType="queryTable" totalsRowShown="0">
  <autoFilter ref="A1:H11" xr:uid="{97DAD246-B726-41A9-91DA-47B0A3E9C46B}"/>
  <tableColumns count="8">
    <tableColumn id="1" xr3:uid="{8FB98B2D-73E7-4749-99F4-0204919BE5B5}" uniqueName="1" name="Date" queryTableFieldId="1" dataDxfId="32"/>
    <tableColumn id="2" xr3:uid="{4E2A8B8A-DB46-4197-B9D2-CFCFB9FB40E6}" uniqueName="2" name="Region" queryTableFieldId="2" dataDxfId="31"/>
    <tableColumn id="3" xr3:uid="{BE8D19E3-56CB-4C72-BB2E-2CB3B36723A4}" uniqueName="3" name="Product" queryTableFieldId="3" dataDxfId="30"/>
    <tableColumn id="4" xr3:uid="{E7E5C82D-9FC1-49A5-9053-CA3136EB78FA}" uniqueName="4" name="Sales" queryTableFieldId="4"/>
    <tableColumn id="5" xr3:uid="{E8C284AD-D3E6-4CD1-A01B-8B40657BC5F1}" uniqueName="5" name="Cost" queryTableFieldId="5"/>
    <tableColumn id="6" xr3:uid="{3A2F2982-9447-4EFA-83A5-F671FA8DD7EC}" uniqueName="6" name="Month" queryTableFieldId="6" dataDxfId="29"/>
    <tableColumn id="7" xr3:uid="{E8C15F15-8D4B-426B-8004-61FE5DF85B42}" uniqueName="7" name="Year" queryTableFieldId="7"/>
    <tableColumn id="8" xr3:uid="{FF8B2DA4-6057-4C02-A871-FF6DE936D4EE}" uniqueName="8" name="Issue type" queryTableFieldId="8"/>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A13469D-0099-4C37-AC66-CC1D73A21C7F}" name="Table8" displayName="Table8" ref="F9:G15" headerRowDxfId="22" dataDxfId="20" totalsRowDxfId="21">
  <autoFilter ref="F9:G15" xr:uid="{2A13469D-0099-4C37-AC66-CC1D73A21C7F}"/>
  <tableColumns count="2">
    <tableColumn id="1" xr3:uid="{D6869384-7F5C-4AD4-AB82-2EB719232B27}" name="Metric" totalsRowLabel="Total" dataDxfId="24"/>
    <tableColumn id="2" xr3:uid="{465032F9-76D7-4186-889B-AE5D14DA297E}" name="Values" totalsRowFunction="sum" dataDxfId="2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3EBA4-84C2-4886-B0E8-39E20992078C}">
  <dimension ref="A1:E206"/>
  <sheetViews>
    <sheetView tabSelected="1" workbookViewId="0">
      <selection activeCell="E2" sqref="E2"/>
    </sheetView>
  </sheetViews>
  <sheetFormatPr defaultRowHeight="15" x14ac:dyDescent="0.25"/>
  <cols>
    <col min="1" max="1" width="16.85546875" customWidth="1"/>
  </cols>
  <sheetData>
    <row r="1" spans="1:5" x14ac:dyDescent="0.25">
      <c r="A1" t="s">
        <v>0</v>
      </c>
      <c r="B1" t="s">
        <v>1</v>
      </c>
      <c r="C1" t="s">
        <v>2</v>
      </c>
      <c r="D1" t="s">
        <v>3</v>
      </c>
      <c r="E1" t="s">
        <v>4</v>
      </c>
    </row>
    <row r="2" spans="1:5" x14ac:dyDescent="0.25">
      <c r="A2" s="1">
        <v>45292</v>
      </c>
      <c r="B2" t="s">
        <v>7</v>
      </c>
      <c r="C2" t="s">
        <v>8</v>
      </c>
      <c r="D2">
        <v>810</v>
      </c>
      <c r="E2">
        <v>53</v>
      </c>
    </row>
    <row r="3" spans="1:5" x14ac:dyDescent="0.25">
      <c r="A3" s="1">
        <v>45293</v>
      </c>
      <c r="B3" t="s">
        <v>10</v>
      </c>
      <c r="C3" t="s">
        <v>11</v>
      </c>
      <c r="D3">
        <v>374</v>
      </c>
      <c r="E3">
        <v>276</v>
      </c>
    </row>
    <row r="4" spans="1:5" x14ac:dyDescent="0.25">
      <c r="A4" s="1">
        <v>45294</v>
      </c>
      <c r="B4" t="s">
        <v>12</v>
      </c>
      <c r="C4" t="s">
        <v>13</v>
      </c>
      <c r="D4">
        <v>960</v>
      </c>
      <c r="E4">
        <v>730</v>
      </c>
    </row>
    <row r="5" spans="1:5" x14ac:dyDescent="0.25">
      <c r="A5" s="1">
        <v>45295</v>
      </c>
      <c r="B5" t="s">
        <v>7</v>
      </c>
      <c r="C5" t="s">
        <v>11</v>
      </c>
      <c r="D5">
        <v>143</v>
      </c>
      <c r="E5">
        <v>494</v>
      </c>
    </row>
    <row r="6" spans="1:5" x14ac:dyDescent="0.25">
      <c r="A6" s="1">
        <v>45296</v>
      </c>
      <c r="B6" t="s">
        <v>10</v>
      </c>
      <c r="C6" t="s">
        <v>11</v>
      </c>
      <c r="D6">
        <v>183</v>
      </c>
      <c r="E6">
        <v>467</v>
      </c>
    </row>
    <row r="7" spans="1:5" x14ac:dyDescent="0.25">
      <c r="A7" s="1">
        <v>45297</v>
      </c>
      <c r="B7" t="s">
        <v>10</v>
      </c>
      <c r="C7" t="s">
        <v>13</v>
      </c>
      <c r="D7">
        <v>533</v>
      </c>
      <c r="E7">
        <v>334</v>
      </c>
    </row>
    <row r="8" spans="1:5" x14ac:dyDescent="0.25">
      <c r="A8" s="1">
        <v>45298</v>
      </c>
      <c r="B8" t="s">
        <v>10</v>
      </c>
      <c r="C8" t="s">
        <v>8</v>
      </c>
      <c r="D8">
        <v>909</v>
      </c>
      <c r="E8">
        <v>76</v>
      </c>
    </row>
    <row r="9" spans="1:5" x14ac:dyDescent="0.25">
      <c r="A9" s="1">
        <v>45299</v>
      </c>
      <c r="B9" t="s">
        <v>10</v>
      </c>
      <c r="C9" t="s">
        <v>14</v>
      </c>
      <c r="D9">
        <v>193</v>
      </c>
      <c r="E9">
        <v>786</v>
      </c>
    </row>
    <row r="10" spans="1:5" x14ac:dyDescent="0.25">
      <c r="A10" s="1">
        <v>45300</v>
      </c>
      <c r="B10" t="s">
        <v>12</v>
      </c>
      <c r="C10" t="s">
        <v>14</v>
      </c>
      <c r="D10">
        <v>274</v>
      </c>
      <c r="E10">
        <v>298</v>
      </c>
    </row>
    <row r="11" spans="1:5" x14ac:dyDescent="0.25">
      <c r="A11" s="1">
        <v>45301</v>
      </c>
      <c r="B11" t="s">
        <v>10</v>
      </c>
      <c r="C11" t="s">
        <v>14</v>
      </c>
      <c r="D11">
        <v>505</v>
      </c>
      <c r="E11">
        <v>415</v>
      </c>
    </row>
    <row r="12" spans="1:5" x14ac:dyDescent="0.25">
      <c r="A12" s="1">
        <v>45302</v>
      </c>
      <c r="B12" t="s">
        <v>12</v>
      </c>
      <c r="C12" t="s">
        <v>13</v>
      </c>
      <c r="D12">
        <v>301</v>
      </c>
      <c r="E12">
        <v>251</v>
      </c>
    </row>
    <row r="13" spans="1:5" x14ac:dyDescent="0.25">
      <c r="A13" s="1">
        <v>45303</v>
      </c>
      <c r="B13" t="s">
        <v>15</v>
      </c>
      <c r="C13" t="s">
        <v>13</v>
      </c>
      <c r="D13">
        <v>957</v>
      </c>
      <c r="E13">
        <v>487</v>
      </c>
    </row>
    <row r="14" spans="1:5" x14ac:dyDescent="0.25">
      <c r="A14" s="1">
        <v>45304</v>
      </c>
      <c r="B14" t="s">
        <v>7</v>
      </c>
      <c r="C14" t="s">
        <v>14</v>
      </c>
      <c r="D14">
        <v>598</v>
      </c>
      <c r="E14">
        <v>247</v>
      </c>
    </row>
    <row r="15" spans="1:5" x14ac:dyDescent="0.25">
      <c r="A15" s="1">
        <v>45305</v>
      </c>
      <c r="B15" t="s">
        <v>10</v>
      </c>
      <c r="C15" t="s">
        <v>11</v>
      </c>
      <c r="D15">
        <v>580</v>
      </c>
      <c r="E15">
        <v>697</v>
      </c>
    </row>
    <row r="16" spans="1:5" x14ac:dyDescent="0.25">
      <c r="A16" s="1">
        <v>45306</v>
      </c>
      <c r="B16" t="s">
        <v>15</v>
      </c>
      <c r="C16" t="s">
        <v>11</v>
      </c>
      <c r="D16">
        <v>429</v>
      </c>
      <c r="E16">
        <v>687</v>
      </c>
    </row>
    <row r="17" spans="1:5" x14ac:dyDescent="0.25">
      <c r="A17" s="1">
        <v>45307</v>
      </c>
      <c r="B17" t="s">
        <v>7</v>
      </c>
      <c r="C17" t="s">
        <v>14</v>
      </c>
      <c r="D17">
        <v>640</v>
      </c>
      <c r="E17">
        <v>656</v>
      </c>
    </row>
    <row r="18" spans="1:5" x14ac:dyDescent="0.25">
      <c r="A18" s="1">
        <v>45308</v>
      </c>
      <c r="B18" t="s">
        <v>7</v>
      </c>
      <c r="C18" t="s">
        <v>14</v>
      </c>
      <c r="D18">
        <v>309</v>
      </c>
      <c r="E18">
        <v>122</v>
      </c>
    </row>
    <row r="19" spans="1:5" x14ac:dyDescent="0.25">
      <c r="A19" s="1">
        <v>45309</v>
      </c>
      <c r="B19" t="s">
        <v>7</v>
      </c>
      <c r="C19" t="s">
        <v>13</v>
      </c>
      <c r="D19">
        <v>717</v>
      </c>
      <c r="E19">
        <v>296</v>
      </c>
    </row>
    <row r="20" spans="1:5" x14ac:dyDescent="0.25">
      <c r="A20" s="1">
        <v>45310</v>
      </c>
      <c r="B20" t="s">
        <v>15</v>
      </c>
      <c r="C20" t="s">
        <v>14</v>
      </c>
      <c r="D20">
        <v>996</v>
      </c>
      <c r="E20">
        <v>185</v>
      </c>
    </row>
    <row r="21" spans="1:5" x14ac:dyDescent="0.25">
      <c r="A21" s="1">
        <v>45311</v>
      </c>
      <c r="B21" t="s">
        <v>12</v>
      </c>
      <c r="C21" t="s">
        <v>8</v>
      </c>
      <c r="D21">
        <v>675</v>
      </c>
      <c r="E21">
        <v>757</v>
      </c>
    </row>
    <row r="22" spans="1:5" x14ac:dyDescent="0.25">
      <c r="A22" s="1">
        <v>45312</v>
      </c>
      <c r="B22" t="s">
        <v>15</v>
      </c>
      <c r="C22" t="s">
        <v>11</v>
      </c>
      <c r="D22">
        <v>116</v>
      </c>
      <c r="E22">
        <v>263</v>
      </c>
    </row>
    <row r="23" spans="1:5" x14ac:dyDescent="0.25">
      <c r="A23" s="1">
        <v>45313</v>
      </c>
      <c r="B23" t="s">
        <v>10</v>
      </c>
      <c r="C23" t="s">
        <v>14</v>
      </c>
      <c r="D23">
        <v>206</v>
      </c>
      <c r="E23">
        <v>525</v>
      </c>
    </row>
    <row r="24" spans="1:5" x14ac:dyDescent="0.25">
      <c r="A24" s="1">
        <v>45314</v>
      </c>
      <c r="B24" t="s">
        <v>10</v>
      </c>
      <c r="C24" t="s">
        <v>14</v>
      </c>
      <c r="D24">
        <v>264</v>
      </c>
      <c r="E24">
        <v>670</v>
      </c>
    </row>
    <row r="25" spans="1:5" x14ac:dyDescent="0.25">
      <c r="A25" s="1">
        <v>45315</v>
      </c>
      <c r="B25" t="s">
        <v>15</v>
      </c>
      <c r="C25" t="s">
        <v>13</v>
      </c>
      <c r="D25">
        <v>706</v>
      </c>
      <c r="E25">
        <v>373</v>
      </c>
    </row>
    <row r="26" spans="1:5" x14ac:dyDescent="0.25">
      <c r="A26" s="1">
        <v>45316</v>
      </c>
      <c r="B26" t="s">
        <v>7</v>
      </c>
      <c r="C26" t="s">
        <v>8</v>
      </c>
      <c r="D26">
        <v>636</v>
      </c>
      <c r="E26">
        <v>152</v>
      </c>
    </row>
    <row r="27" spans="1:5" x14ac:dyDescent="0.25">
      <c r="A27" s="1">
        <v>45317</v>
      </c>
      <c r="B27" t="s">
        <v>12</v>
      </c>
      <c r="C27" t="s">
        <v>13</v>
      </c>
      <c r="D27">
        <v>728</v>
      </c>
      <c r="E27">
        <v>377</v>
      </c>
    </row>
    <row r="28" spans="1:5" x14ac:dyDescent="0.25">
      <c r="A28" s="1">
        <v>45318</v>
      </c>
      <c r="B28" t="s">
        <v>12</v>
      </c>
      <c r="C28" t="s">
        <v>14</v>
      </c>
      <c r="D28">
        <v>291</v>
      </c>
      <c r="E28">
        <v>645</v>
      </c>
    </row>
    <row r="29" spans="1:5" x14ac:dyDescent="0.25">
      <c r="A29" s="1">
        <v>45319</v>
      </c>
      <c r="B29" t="s">
        <v>12</v>
      </c>
      <c r="C29" t="s">
        <v>11</v>
      </c>
      <c r="D29">
        <v>295</v>
      </c>
      <c r="E29">
        <v>273</v>
      </c>
    </row>
    <row r="30" spans="1:5" x14ac:dyDescent="0.25">
      <c r="A30" s="1">
        <v>45320</v>
      </c>
      <c r="B30" t="s">
        <v>12</v>
      </c>
      <c r="C30" t="s">
        <v>8</v>
      </c>
      <c r="D30">
        <v>407</v>
      </c>
      <c r="E30">
        <v>306</v>
      </c>
    </row>
    <row r="31" spans="1:5" x14ac:dyDescent="0.25">
      <c r="A31" s="1">
        <v>45321</v>
      </c>
      <c r="B31" t="s">
        <v>7</v>
      </c>
      <c r="C31" t="s">
        <v>8</v>
      </c>
      <c r="D31">
        <v>236</v>
      </c>
      <c r="E31">
        <v>695</v>
      </c>
    </row>
    <row r="32" spans="1:5" x14ac:dyDescent="0.25">
      <c r="A32" s="1">
        <v>45322</v>
      </c>
      <c r="B32" t="s">
        <v>12</v>
      </c>
      <c r="C32" t="s">
        <v>8</v>
      </c>
      <c r="D32">
        <v>959</v>
      </c>
      <c r="E32">
        <v>397</v>
      </c>
    </row>
    <row r="33" spans="1:5" x14ac:dyDescent="0.25">
      <c r="A33" s="1">
        <v>45323</v>
      </c>
      <c r="B33" t="s">
        <v>7</v>
      </c>
      <c r="C33" t="s">
        <v>13</v>
      </c>
      <c r="D33">
        <v>193</v>
      </c>
      <c r="E33">
        <v>157</v>
      </c>
    </row>
    <row r="34" spans="1:5" x14ac:dyDescent="0.25">
      <c r="A34" s="1">
        <v>45324</v>
      </c>
      <c r="B34" t="s">
        <v>10</v>
      </c>
      <c r="C34" t="s">
        <v>14</v>
      </c>
      <c r="D34">
        <v>991</v>
      </c>
      <c r="E34">
        <v>569</v>
      </c>
    </row>
    <row r="35" spans="1:5" x14ac:dyDescent="0.25">
      <c r="A35" s="1">
        <v>45325</v>
      </c>
      <c r="B35" t="s">
        <v>7</v>
      </c>
      <c r="C35" t="s">
        <v>14</v>
      </c>
      <c r="D35">
        <v>850</v>
      </c>
      <c r="E35">
        <v>199</v>
      </c>
    </row>
    <row r="36" spans="1:5" x14ac:dyDescent="0.25">
      <c r="A36" s="1">
        <v>45326</v>
      </c>
      <c r="B36" t="s">
        <v>10</v>
      </c>
      <c r="C36" t="s">
        <v>14</v>
      </c>
      <c r="D36">
        <v>187</v>
      </c>
      <c r="E36">
        <v>526</v>
      </c>
    </row>
    <row r="37" spans="1:5" x14ac:dyDescent="0.25">
      <c r="A37" s="1">
        <v>45327</v>
      </c>
      <c r="B37" t="s">
        <v>12</v>
      </c>
      <c r="C37" t="s">
        <v>8</v>
      </c>
      <c r="D37">
        <v>260</v>
      </c>
      <c r="E37">
        <v>442</v>
      </c>
    </row>
    <row r="38" spans="1:5" x14ac:dyDescent="0.25">
      <c r="A38" s="1">
        <v>45328</v>
      </c>
      <c r="B38" t="s">
        <v>15</v>
      </c>
      <c r="C38" t="s">
        <v>8</v>
      </c>
      <c r="D38">
        <v>247</v>
      </c>
      <c r="E38">
        <v>733</v>
      </c>
    </row>
    <row r="39" spans="1:5" x14ac:dyDescent="0.25">
      <c r="A39" s="1">
        <v>45329</v>
      </c>
      <c r="B39" t="s">
        <v>10</v>
      </c>
      <c r="C39" t="s">
        <v>11</v>
      </c>
      <c r="D39">
        <v>684</v>
      </c>
      <c r="E39">
        <v>608</v>
      </c>
    </row>
    <row r="40" spans="1:5" x14ac:dyDescent="0.25">
      <c r="A40" s="1">
        <v>45330</v>
      </c>
      <c r="B40" t="s">
        <v>10</v>
      </c>
      <c r="C40" t="s">
        <v>8</v>
      </c>
      <c r="D40">
        <v>555</v>
      </c>
      <c r="E40">
        <v>50</v>
      </c>
    </row>
    <row r="41" spans="1:5" x14ac:dyDescent="0.25">
      <c r="A41" s="1">
        <v>45331</v>
      </c>
      <c r="B41" t="s">
        <v>7</v>
      </c>
      <c r="C41" t="s">
        <v>14</v>
      </c>
      <c r="D41">
        <v>187</v>
      </c>
      <c r="E41">
        <v>410</v>
      </c>
    </row>
    <row r="42" spans="1:5" x14ac:dyDescent="0.25">
      <c r="A42" s="1">
        <v>45332</v>
      </c>
      <c r="B42" t="s">
        <v>15</v>
      </c>
      <c r="C42" t="s">
        <v>14</v>
      </c>
      <c r="D42">
        <v>113</v>
      </c>
      <c r="E42">
        <v>741</v>
      </c>
    </row>
    <row r="43" spans="1:5" x14ac:dyDescent="0.25">
      <c r="A43" s="1">
        <v>45333</v>
      </c>
      <c r="B43" t="s">
        <v>10</v>
      </c>
      <c r="C43" t="s">
        <v>8</v>
      </c>
      <c r="D43">
        <v>414</v>
      </c>
      <c r="E43">
        <v>600</v>
      </c>
    </row>
    <row r="44" spans="1:5" x14ac:dyDescent="0.25">
      <c r="A44" s="1">
        <v>45334</v>
      </c>
      <c r="B44" t="s">
        <v>7</v>
      </c>
      <c r="C44" t="s">
        <v>11</v>
      </c>
      <c r="D44">
        <v>693</v>
      </c>
      <c r="E44">
        <v>139</v>
      </c>
    </row>
    <row r="45" spans="1:5" x14ac:dyDescent="0.25">
      <c r="A45" s="1">
        <v>45335</v>
      </c>
      <c r="B45" t="s">
        <v>12</v>
      </c>
      <c r="C45" t="s">
        <v>8</v>
      </c>
      <c r="D45">
        <v>220</v>
      </c>
      <c r="E45">
        <v>124</v>
      </c>
    </row>
    <row r="46" spans="1:5" x14ac:dyDescent="0.25">
      <c r="A46" s="1">
        <v>45336</v>
      </c>
      <c r="B46" t="s">
        <v>10</v>
      </c>
      <c r="C46" t="s">
        <v>8</v>
      </c>
      <c r="D46">
        <v>984</v>
      </c>
      <c r="E46">
        <v>549</v>
      </c>
    </row>
    <row r="47" spans="1:5" x14ac:dyDescent="0.25">
      <c r="A47" s="1">
        <v>45337</v>
      </c>
      <c r="B47" t="s">
        <v>12</v>
      </c>
      <c r="C47" t="s">
        <v>13</v>
      </c>
      <c r="D47">
        <v>932</v>
      </c>
      <c r="E47">
        <v>788</v>
      </c>
    </row>
    <row r="48" spans="1:5" x14ac:dyDescent="0.25">
      <c r="A48" s="1">
        <v>45338</v>
      </c>
      <c r="B48" t="s">
        <v>10</v>
      </c>
      <c r="C48" t="s">
        <v>8</v>
      </c>
      <c r="D48">
        <v>-100</v>
      </c>
      <c r="E48">
        <v>685</v>
      </c>
    </row>
    <row r="49" spans="1:5" x14ac:dyDescent="0.25">
      <c r="A49" s="1">
        <v>45339</v>
      </c>
      <c r="B49" t="s">
        <v>10</v>
      </c>
      <c r="C49" t="s">
        <v>14</v>
      </c>
      <c r="D49">
        <v>832</v>
      </c>
      <c r="E49">
        <v>393</v>
      </c>
    </row>
    <row r="50" spans="1:5" x14ac:dyDescent="0.25">
      <c r="A50" s="1">
        <v>45340</v>
      </c>
      <c r="B50" t="s">
        <v>15</v>
      </c>
      <c r="C50" t="s">
        <v>14</v>
      </c>
      <c r="D50">
        <v>381</v>
      </c>
      <c r="E50">
        <v>146</v>
      </c>
    </row>
    <row r="51" spans="1:5" x14ac:dyDescent="0.25">
      <c r="A51" s="1">
        <v>45341</v>
      </c>
      <c r="B51" t="s">
        <v>10</v>
      </c>
      <c r="C51" t="s">
        <v>14</v>
      </c>
      <c r="D51">
        <v>900</v>
      </c>
      <c r="E51">
        <v>332</v>
      </c>
    </row>
    <row r="52" spans="1:5" x14ac:dyDescent="0.25">
      <c r="A52" s="1">
        <v>45342</v>
      </c>
      <c r="B52" t="s">
        <v>7</v>
      </c>
      <c r="C52" t="s">
        <v>13</v>
      </c>
      <c r="D52">
        <v>526</v>
      </c>
      <c r="E52">
        <v>768</v>
      </c>
    </row>
    <row r="53" spans="1:5" x14ac:dyDescent="0.25">
      <c r="A53" s="1">
        <v>45343</v>
      </c>
      <c r="B53" t="s">
        <v>12</v>
      </c>
      <c r="C53" t="s">
        <v>13</v>
      </c>
      <c r="D53">
        <v>882</v>
      </c>
      <c r="E53">
        <v>82</v>
      </c>
    </row>
    <row r="54" spans="1:5" x14ac:dyDescent="0.25">
      <c r="A54" s="1">
        <v>45344</v>
      </c>
      <c r="B54" t="s">
        <v>12</v>
      </c>
      <c r="C54" t="s">
        <v>8</v>
      </c>
      <c r="D54">
        <v>570</v>
      </c>
      <c r="E54">
        <v>165</v>
      </c>
    </row>
    <row r="55" spans="1:5" x14ac:dyDescent="0.25">
      <c r="A55" s="1">
        <v>45345</v>
      </c>
      <c r="B55" t="s">
        <v>12</v>
      </c>
      <c r="C55" t="s">
        <v>11</v>
      </c>
      <c r="D55">
        <v>384</v>
      </c>
      <c r="E55">
        <v>504</v>
      </c>
    </row>
    <row r="56" spans="1:5" x14ac:dyDescent="0.25">
      <c r="A56" s="1">
        <v>45346</v>
      </c>
      <c r="B56" t="s">
        <v>10</v>
      </c>
      <c r="C56" t="s">
        <v>8</v>
      </c>
      <c r="D56">
        <v>376</v>
      </c>
      <c r="E56">
        <v>478</v>
      </c>
    </row>
    <row r="57" spans="1:5" x14ac:dyDescent="0.25">
      <c r="A57" s="1">
        <v>45347</v>
      </c>
      <c r="B57" t="s">
        <v>7</v>
      </c>
      <c r="C57" t="s">
        <v>13</v>
      </c>
      <c r="D57">
        <v>424</v>
      </c>
      <c r="E57">
        <v>740</v>
      </c>
    </row>
    <row r="58" spans="1:5" x14ac:dyDescent="0.25">
      <c r="A58" s="1">
        <v>45348</v>
      </c>
      <c r="B58" t="s">
        <v>10</v>
      </c>
      <c r="C58" t="s">
        <v>8</v>
      </c>
      <c r="D58">
        <v>634</v>
      </c>
      <c r="E58">
        <v>223</v>
      </c>
    </row>
    <row r="59" spans="1:5" x14ac:dyDescent="0.25">
      <c r="A59" s="1">
        <v>45349</v>
      </c>
      <c r="B59" t="s">
        <v>15</v>
      </c>
      <c r="C59" t="s">
        <v>13</v>
      </c>
      <c r="D59">
        <v>327</v>
      </c>
      <c r="E59">
        <v>795</v>
      </c>
    </row>
    <row r="60" spans="1:5" x14ac:dyDescent="0.25">
      <c r="A60" s="1">
        <v>45350</v>
      </c>
      <c r="B60" t="s">
        <v>7</v>
      </c>
      <c r="C60" t="s">
        <v>14</v>
      </c>
      <c r="E60">
        <v>182</v>
      </c>
    </row>
    <row r="61" spans="1:5" x14ac:dyDescent="0.25">
      <c r="A61" s="1">
        <v>45351</v>
      </c>
      <c r="B61" t="s">
        <v>10</v>
      </c>
      <c r="C61" t="s">
        <v>14</v>
      </c>
      <c r="D61">
        <v>695</v>
      </c>
      <c r="E61">
        <v>491</v>
      </c>
    </row>
    <row r="62" spans="1:5" x14ac:dyDescent="0.25">
      <c r="A62" s="1">
        <v>45352</v>
      </c>
      <c r="B62" t="s">
        <v>10</v>
      </c>
      <c r="C62" t="s">
        <v>13</v>
      </c>
      <c r="D62">
        <v>747</v>
      </c>
      <c r="E62">
        <v>143</v>
      </c>
    </row>
    <row r="63" spans="1:5" x14ac:dyDescent="0.25">
      <c r="A63" s="1">
        <v>45353</v>
      </c>
      <c r="B63" t="s">
        <v>15</v>
      </c>
      <c r="C63" t="s">
        <v>8</v>
      </c>
      <c r="D63">
        <v>673</v>
      </c>
      <c r="E63">
        <v>397</v>
      </c>
    </row>
    <row r="64" spans="1:5" x14ac:dyDescent="0.25">
      <c r="A64" s="1">
        <v>45354</v>
      </c>
      <c r="B64" t="s">
        <v>10</v>
      </c>
      <c r="C64" t="s">
        <v>11</v>
      </c>
      <c r="D64">
        <v>753</v>
      </c>
      <c r="E64">
        <v>451</v>
      </c>
    </row>
    <row r="65" spans="1:5" x14ac:dyDescent="0.25">
      <c r="A65" s="1">
        <v>45355</v>
      </c>
      <c r="B65" t="s">
        <v>15</v>
      </c>
      <c r="C65" t="s">
        <v>14</v>
      </c>
      <c r="D65">
        <v>617</v>
      </c>
      <c r="E65">
        <v>469</v>
      </c>
    </row>
    <row r="66" spans="1:5" x14ac:dyDescent="0.25">
      <c r="A66" s="1">
        <v>45356</v>
      </c>
      <c r="B66" t="s">
        <v>10</v>
      </c>
      <c r="C66" t="s">
        <v>11</v>
      </c>
      <c r="D66">
        <v>356</v>
      </c>
      <c r="E66">
        <v>756</v>
      </c>
    </row>
    <row r="67" spans="1:5" x14ac:dyDescent="0.25">
      <c r="A67" s="1">
        <v>45357</v>
      </c>
      <c r="B67" t="s">
        <v>7</v>
      </c>
      <c r="C67" t="s">
        <v>13</v>
      </c>
      <c r="D67">
        <v>236</v>
      </c>
      <c r="E67">
        <v>454</v>
      </c>
    </row>
    <row r="68" spans="1:5" x14ac:dyDescent="0.25">
      <c r="A68" s="1">
        <v>45358</v>
      </c>
      <c r="B68" t="s">
        <v>15</v>
      </c>
      <c r="C68" t="s">
        <v>13</v>
      </c>
      <c r="D68">
        <v>307</v>
      </c>
      <c r="E68">
        <v>235</v>
      </c>
    </row>
    <row r="69" spans="1:5" x14ac:dyDescent="0.25">
      <c r="A69" s="1">
        <v>45359</v>
      </c>
      <c r="B69" t="s">
        <v>7</v>
      </c>
      <c r="C69" t="s">
        <v>11</v>
      </c>
      <c r="D69">
        <v>563</v>
      </c>
      <c r="E69">
        <v>425</v>
      </c>
    </row>
    <row r="70" spans="1:5" x14ac:dyDescent="0.25">
      <c r="A70" s="1">
        <v>45360</v>
      </c>
      <c r="B70" t="s">
        <v>7</v>
      </c>
      <c r="C70" t="s">
        <v>13</v>
      </c>
      <c r="D70">
        <v>239</v>
      </c>
      <c r="E70">
        <v>726</v>
      </c>
    </row>
    <row r="71" spans="1:5" x14ac:dyDescent="0.25">
      <c r="A71" s="1">
        <v>45361</v>
      </c>
      <c r="B71" t="s">
        <v>7</v>
      </c>
      <c r="C71" t="s">
        <v>8</v>
      </c>
      <c r="D71">
        <v>104</v>
      </c>
      <c r="E71">
        <v>752</v>
      </c>
    </row>
    <row r="72" spans="1:5" x14ac:dyDescent="0.25">
      <c r="A72" s="1">
        <v>45362</v>
      </c>
      <c r="B72" t="s">
        <v>12</v>
      </c>
      <c r="C72" t="s">
        <v>8</v>
      </c>
      <c r="D72">
        <v>523</v>
      </c>
      <c r="E72">
        <v>566</v>
      </c>
    </row>
    <row r="73" spans="1:5" x14ac:dyDescent="0.25">
      <c r="A73" s="1">
        <v>45363</v>
      </c>
      <c r="B73" t="s">
        <v>12</v>
      </c>
      <c r="C73" t="s">
        <v>8</v>
      </c>
      <c r="D73">
        <v>448</v>
      </c>
      <c r="E73">
        <v>547</v>
      </c>
    </row>
    <row r="74" spans="1:5" x14ac:dyDescent="0.25">
      <c r="A74" s="1">
        <v>45364</v>
      </c>
      <c r="B74" t="s">
        <v>15</v>
      </c>
      <c r="C74" t="s">
        <v>13</v>
      </c>
      <c r="D74">
        <v>382</v>
      </c>
      <c r="E74">
        <v>548</v>
      </c>
    </row>
    <row r="75" spans="1:5" x14ac:dyDescent="0.25">
      <c r="A75" s="1">
        <v>45365</v>
      </c>
      <c r="B75" t="s">
        <v>7</v>
      </c>
      <c r="C75" t="s">
        <v>11</v>
      </c>
      <c r="D75">
        <v>686</v>
      </c>
      <c r="E75">
        <v>255</v>
      </c>
    </row>
    <row r="76" spans="1:5" x14ac:dyDescent="0.25">
      <c r="A76" s="1">
        <v>45366</v>
      </c>
      <c r="B76" t="s">
        <v>7</v>
      </c>
      <c r="C76" t="s">
        <v>14</v>
      </c>
      <c r="D76">
        <v>920</v>
      </c>
      <c r="E76">
        <v>464</v>
      </c>
    </row>
    <row r="77" spans="1:5" x14ac:dyDescent="0.25">
      <c r="A77" s="1">
        <v>45367</v>
      </c>
      <c r="B77" t="s">
        <v>12</v>
      </c>
      <c r="C77" t="s">
        <v>14</v>
      </c>
      <c r="D77">
        <v>533</v>
      </c>
      <c r="E77">
        <v>415</v>
      </c>
    </row>
    <row r="78" spans="1:5" x14ac:dyDescent="0.25">
      <c r="A78" s="1">
        <v>45368</v>
      </c>
      <c r="B78" t="s">
        <v>10</v>
      </c>
      <c r="C78" t="s">
        <v>8</v>
      </c>
      <c r="D78">
        <v>319</v>
      </c>
      <c r="E78">
        <v>788</v>
      </c>
    </row>
    <row r="79" spans="1:5" x14ac:dyDescent="0.25">
      <c r="A79" s="1">
        <v>45369</v>
      </c>
      <c r="B79" t="s">
        <v>7</v>
      </c>
      <c r="C79" t="s">
        <v>14</v>
      </c>
      <c r="D79">
        <v>919</v>
      </c>
      <c r="E79">
        <v>469</v>
      </c>
    </row>
    <row r="80" spans="1:5" x14ac:dyDescent="0.25">
      <c r="A80" s="1">
        <v>45370</v>
      </c>
      <c r="B80" t="s">
        <v>12</v>
      </c>
      <c r="C80" t="s">
        <v>13</v>
      </c>
      <c r="D80">
        <v>839</v>
      </c>
      <c r="E80">
        <v>635</v>
      </c>
    </row>
    <row r="81" spans="1:5" x14ac:dyDescent="0.25">
      <c r="A81" s="1">
        <v>45371</v>
      </c>
      <c r="B81" t="s">
        <v>15</v>
      </c>
      <c r="C81" t="s">
        <v>11</v>
      </c>
      <c r="D81">
        <v>973</v>
      </c>
      <c r="E81">
        <v>268</v>
      </c>
    </row>
    <row r="82" spans="1:5" x14ac:dyDescent="0.25">
      <c r="A82" s="1">
        <v>45372</v>
      </c>
      <c r="B82" t="s">
        <v>15</v>
      </c>
      <c r="C82" t="s">
        <v>13</v>
      </c>
      <c r="D82">
        <v>886</v>
      </c>
      <c r="E82">
        <v>588</v>
      </c>
    </row>
    <row r="83" spans="1:5" x14ac:dyDescent="0.25">
      <c r="A83" s="1">
        <v>45373</v>
      </c>
      <c r="B83" t="s">
        <v>10</v>
      </c>
      <c r="C83" t="s">
        <v>13</v>
      </c>
      <c r="D83">
        <v>-100</v>
      </c>
      <c r="E83">
        <v>424</v>
      </c>
    </row>
    <row r="84" spans="1:5" x14ac:dyDescent="0.25">
      <c r="A84" s="1">
        <v>45374</v>
      </c>
      <c r="B84" t="s">
        <v>7</v>
      </c>
      <c r="C84" t="s">
        <v>11</v>
      </c>
      <c r="D84">
        <v>390</v>
      </c>
      <c r="E84">
        <v>72</v>
      </c>
    </row>
    <row r="85" spans="1:5" x14ac:dyDescent="0.25">
      <c r="A85" s="1">
        <v>45375</v>
      </c>
      <c r="B85" t="s">
        <v>12</v>
      </c>
      <c r="C85" t="s">
        <v>14</v>
      </c>
      <c r="D85">
        <v>663</v>
      </c>
      <c r="E85">
        <v>510</v>
      </c>
    </row>
    <row r="86" spans="1:5" x14ac:dyDescent="0.25">
      <c r="A86" s="1">
        <v>45376</v>
      </c>
      <c r="B86" t="s">
        <v>12</v>
      </c>
      <c r="C86" t="s">
        <v>11</v>
      </c>
      <c r="D86">
        <v>770</v>
      </c>
      <c r="E86">
        <v>769</v>
      </c>
    </row>
    <row r="87" spans="1:5" x14ac:dyDescent="0.25">
      <c r="A87" s="1">
        <v>45377</v>
      </c>
      <c r="B87" t="s">
        <v>10</v>
      </c>
      <c r="C87" t="s">
        <v>13</v>
      </c>
      <c r="D87">
        <v>537</v>
      </c>
      <c r="E87">
        <v>404</v>
      </c>
    </row>
    <row r="88" spans="1:5" x14ac:dyDescent="0.25">
      <c r="A88" s="1">
        <v>45378</v>
      </c>
      <c r="B88" t="s">
        <v>12</v>
      </c>
      <c r="C88" t="s">
        <v>11</v>
      </c>
      <c r="D88">
        <v>926</v>
      </c>
      <c r="E88">
        <v>652</v>
      </c>
    </row>
    <row r="89" spans="1:5" x14ac:dyDescent="0.25">
      <c r="A89" s="1">
        <v>45379</v>
      </c>
      <c r="B89" t="s">
        <v>12</v>
      </c>
      <c r="C89" t="s">
        <v>11</v>
      </c>
      <c r="D89">
        <v>923</v>
      </c>
      <c r="E89">
        <v>101</v>
      </c>
    </row>
    <row r="90" spans="1:5" x14ac:dyDescent="0.25">
      <c r="A90" s="1">
        <v>45380</v>
      </c>
      <c r="B90" t="s">
        <v>10</v>
      </c>
      <c r="C90" t="s">
        <v>8</v>
      </c>
      <c r="D90">
        <v>608</v>
      </c>
      <c r="E90">
        <v>770</v>
      </c>
    </row>
    <row r="91" spans="1:5" x14ac:dyDescent="0.25">
      <c r="A91" s="1">
        <v>45381</v>
      </c>
      <c r="B91" t="s">
        <v>15</v>
      </c>
      <c r="C91" t="s">
        <v>8</v>
      </c>
      <c r="D91">
        <v>886</v>
      </c>
      <c r="E91">
        <v>623</v>
      </c>
    </row>
    <row r="92" spans="1:5" x14ac:dyDescent="0.25">
      <c r="A92" s="1">
        <v>45382</v>
      </c>
      <c r="B92" t="s">
        <v>10</v>
      </c>
      <c r="C92" t="s">
        <v>13</v>
      </c>
      <c r="D92">
        <v>955</v>
      </c>
      <c r="E92">
        <v>494</v>
      </c>
    </row>
    <row r="93" spans="1:5" x14ac:dyDescent="0.25">
      <c r="A93" s="1">
        <v>45383</v>
      </c>
      <c r="B93" t="s">
        <v>10</v>
      </c>
      <c r="C93" t="s">
        <v>13</v>
      </c>
      <c r="D93">
        <v>549</v>
      </c>
      <c r="E93">
        <v>154</v>
      </c>
    </row>
    <row r="94" spans="1:5" x14ac:dyDescent="0.25">
      <c r="A94" s="1">
        <v>45384</v>
      </c>
      <c r="B94" t="s">
        <v>15</v>
      </c>
      <c r="C94" t="s">
        <v>14</v>
      </c>
      <c r="D94">
        <v>426</v>
      </c>
      <c r="E94">
        <v>690</v>
      </c>
    </row>
    <row r="95" spans="1:5" x14ac:dyDescent="0.25">
      <c r="A95" s="1">
        <v>45385</v>
      </c>
      <c r="B95" t="s">
        <v>15</v>
      </c>
      <c r="C95" t="s">
        <v>13</v>
      </c>
      <c r="D95">
        <v>590</v>
      </c>
      <c r="E95">
        <v>444</v>
      </c>
    </row>
    <row r="96" spans="1:5" x14ac:dyDescent="0.25">
      <c r="A96" s="1">
        <v>45386</v>
      </c>
      <c r="B96" t="s">
        <v>10</v>
      </c>
      <c r="C96" t="s">
        <v>14</v>
      </c>
      <c r="D96">
        <v>153</v>
      </c>
      <c r="E96">
        <v>377</v>
      </c>
    </row>
    <row r="97" spans="1:5" x14ac:dyDescent="0.25">
      <c r="A97" s="1">
        <v>45387</v>
      </c>
      <c r="B97" t="s">
        <v>7</v>
      </c>
      <c r="C97" t="s">
        <v>14</v>
      </c>
      <c r="D97">
        <v>916</v>
      </c>
      <c r="E97">
        <v>656</v>
      </c>
    </row>
    <row r="98" spans="1:5" x14ac:dyDescent="0.25">
      <c r="A98" s="1">
        <v>45388</v>
      </c>
      <c r="B98" t="s">
        <v>15</v>
      </c>
      <c r="C98" t="s">
        <v>11</v>
      </c>
      <c r="D98">
        <v>194</v>
      </c>
      <c r="E98">
        <v>568</v>
      </c>
    </row>
    <row r="99" spans="1:5" x14ac:dyDescent="0.25">
      <c r="A99" s="1">
        <v>45389</v>
      </c>
      <c r="B99" t="s">
        <v>10</v>
      </c>
      <c r="C99" t="s">
        <v>11</v>
      </c>
      <c r="E99">
        <v>735</v>
      </c>
    </row>
    <row r="100" spans="1:5" x14ac:dyDescent="0.25">
      <c r="A100" s="1">
        <v>45390</v>
      </c>
      <c r="B100" t="s">
        <v>12</v>
      </c>
      <c r="C100" t="s">
        <v>13</v>
      </c>
      <c r="D100">
        <v>436</v>
      </c>
      <c r="E100">
        <v>295</v>
      </c>
    </row>
    <row r="101" spans="1:5" x14ac:dyDescent="0.25">
      <c r="A101" s="1">
        <v>45391</v>
      </c>
      <c r="B101" t="s">
        <v>7</v>
      </c>
      <c r="C101" t="s">
        <v>8</v>
      </c>
      <c r="D101">
        <v>766</v>
      </c>
      <c r="E101">
        <v>464</v>
      </c>
    </row>
    <row r="102" spans="1:5" x14ac:dyDescent="0.25">
      <c r="A102" s="1">
        <v>45392</v>
      </c>
      <c r="B102" t="s">
        <v>12</v>
      </c>
      <c r="C102" t="s">
        <v>8</v>
      </c>
      <c r="D102">
        <v>736</v>
      </c>
      <c r="E102">
        <v>577</v>
      </c>
    </row>
    <row r="103" spans="1:5" x14ac:dyDescent="0.25">
      <c r="A103" s="1">
        <v>45393</v>
      </c>
      <c r="B103" t="s">
        <v>15</v>
      </c>
      <c r="C103" t="s">
        <v>14</v>
      </c>
      <c r="D103">
        <v>263</v>
      </c>
      <c r="E103">
        <v>219</v>
      </c>
    </row>
    <row r="104" spans="1:5" x14ac:dyDescent="0.25">
      <c r="A104" s="1">
        <v>45394</v>
      </c>
      <c r="B104" t="s">
        <v>7</v>
      </c>
      <c r="C104" t="s">
        <v>13</v>
      </c>
      <c r="D104">
        <v>670</v>
      </c>
      <c r="E104">
        <v>216</v>
      </c>
    </row>
    <row r="105" spans="1:5" x14ac:dyDescent="0.25">
      <c r="A105" s="1">
        <v>45395</v>
      </c>
      <c r="B105" t="s">
        <v>10</v>
      </c>
      <c r="C105" t="s">
        <v>14</v>
      </c>
      <c r="D105">
        <v>206</v>
      </c>
      <c r="E105">
        <v>359</v>
      </c>
    </row>
    <row r="106" spans="1:5" x14ac:dyDescent="0.25">
      <c r="A106" s="1">
        <v>45396</v>
      </c>
      <c r="B106" t="s">
        <v>7</v>
      </c>
      <c r="C106" t="s">
        <v>11</v>
      </c>
      <c r="D106">
        <v>301</v>
      </c>
      <c r="E106">
        <v>644</v>
      </c>
    </row>
    <row r="107" spans="1:5" x14ac:dyDescent="0.25">
      <c r="A107" s="1">
        <v>45397</v>
      </c>
      <c r="B107" t="s">
        <v>15</v>
      </c>
      <c r="C107" t="s">
        <v>13</v>
      </c>
      <c r="D107">
        <v>400</v>
      </c>
      <c r="E107">
        <v>441</v>
      </c>
    </row>
    <row r="108" spans="1:5" x14ac:dyDescent="0.25">
      <c r="A108" s="1">
        <v>45398</v>
      </c>
      <c r="B108" t="s">
        <v>7</v>
      </c>
      <c r="C108" t="s">
        <v>13</v>
      </c>
      <c r="D108">
        <v>881</v>
      </c>
      <c r="E108">
        <v>270</v>
      </c>
    </row>
    <row r="109" spans="1:5" x14ac:dyDescent="0.25">
      <c r="A109" s="1">
        <v>45399</v>
      </c>
      <c r="B109" t="s">
        <v>10</v>
      </c>
      <c r="C109" t="s">
        <v>8</v>
      </c>
      <c r="D109">
        <v>989</v>
      </c>
      <c r="E109">
        <v>731</v>
      </c>
    </row>
    <row r="110" spans="1:5" x14ac:dyDescent="0.25">
      <c r="A110" s="1">
        <v>45400</v>
      </c>
      <c r="B110" t="s">
        <v>10</v>
      </c>
      <c r="C110" t="s">
        <v>13</v>
      </c>
      <c r="D110">
        <v>938</v>
      </c>
      <c r="E110">
        <v>164</v>
      </c>
    </row>
    <row r="111" spans="1:5" x14ac:dyDescent="0.25">
      <c r="A111" s="1">
        <v>45401</v>
      </c>
      <c r="B111" t="s">
        <v>7</v>
      </c>
      <c r="C111" t="s">
        <v>8</v>
      </c>
      <c r="D111">
        <v>650</v>
      </c>
      <c r="E111">
        <v>384</v>
      </c>
    </row>
    <row r="112" spans="1:5" x14ac:dyDescent="0.25">
      <c r="A112" s="1">
        <v>45402</v>
      </c>
      <c r="B112" t="s">
        <v>10</v>
      </c>
      <c r="C112" t="s">
        <v>13</v>
      </c>
      <c r="D112">
        <v>779</v>
      </c>
      <c r="E112">
        <v>791</v>
      </c>
    </row>
    <row r="113" spans="1:5" x14ac:dyDescent="0.25">
      <c r="A113" s="1">
        <v>45403</v>
      </c>
      <c r="B113" t="s">
        <v>7</v>
      </c>
      <c r="C113" t="s">
        <v>11</v>
      </c>
      <c r="D113">
        <v>748</v>
      </c>
      <c r="E113">
        <v>269</v>
      </c>
    </row>
    <row r="114" spans="1:5" x14ac:dyDescent="0.25">
      <c r="A114" s="1">
        <v>45404</v>
      </c>
      <c r="B114" t="s">
        <v>7</v>
      </c>
      <c r="C114" t="s">
        <v>14</v>
      </c>
      <c r="D114">
        <v>113</v>
      </c>
      <c r="E114">
        <v>296</v>
      </c>
    </row>
    <row r="115" spans="1:5" x14ac:dyDescent="0.25">
      <c r="A115" s="1">
        <v>45405</v>
      </c>
      <c r="B115" t="s">
        <v>7</v>
      </c>
      <c r="C115" t="s">
        <v>8</v>
      </c>
      <c r="D115">
        <v>820</v>
      </c>
      <c r="E115">
        <v>150</v>
      </c>
    </row>
    <row r="116" spans="1:5" x14ac:dyDescent="0.25">
      <c r="A116" s="1">
        <v>45406</v>
      </c>
      <c r="B116" t="s">
        <v>7</v>
      </c>
      <c r="C116" t="s">
        <v>8</v>
      </c>
      <c r="D116">
        <v>634</v>
      </c>
      <c r="E116">
        <v>465</v>
      </c>
    </row>
    <row r="117" spans="1:5" x14ac:dyDescent="0.25">
      <c r="A117" s="1">
        <v>45407</v>
      </c>
      <c r="B117" t="s">
        <v>15</v>
      </c>
      <c r="C117" t="s">
        <v>13</v>
      </c>
      <c r="D117">
        <v>604</v>
      </c>
      <c r="E117">
        <v>271</v>
      </c>
    </row>
    <row r="118" spans="1:5" x14ac:dyDescent="0.25">
      <c r="A118" s="1">
        <v>45408</v>
      </c>
      <c r="B118" t="s">
        <v>10</v>
      </c>
      <c r="C118" t="s">
        <v>13</v>
      </c>
      <c r="D118">
        <v>947</v>
      </c>
      <c r="E118">
        <v>228</v>
      </c>
    </row>
    <row r="119" spans="1:5" x14ac:dyDescent="0.25">
      <c r="A119" s="1">
        <v>45409</v>
      </c>
      <c r="B119" t="s">
        <v>7</v>
      </c>
      <c r="C119" t="s">
        <v>13</v>
      </c>
      <c r="D119">
        <v>876</v>
      </c>
      <c r="E119">
        <v>558</v>
      </c>
    </row>
    <row r="120" spans="1:5" x14ac:dyDescent="0.25">
      <c r="A120" s="1">
        <v>45410</v>
      </c>
      <c r="B120" t="s">
        <v>10</v>
      </c>
      <c r="C120" t="s">
        <v>8</v>
      </c>
      <c r="D120">
        <v>839</v>
      </c>
      <c r="E120">
        <v>224</v>
      </c>
    </row>
    <row r="121" spans="1:5" x14ac:dyDescent="0.25">
      <c r="A121" s="1">
        <v>45411</v>
      </c>
      <c r="B121" t="s">
        <v>15</v>
      </c>
      <c r="C121" t="s">
        <v>8</v>
      </c>
      <c r="D121">
        <v>874</v>
      </c>
      <c r="E121">
        <v>655</v>
      </c>
    </row>
    <row r="122" spans="1:5" x14ac:dyDescent="0.25">
      <c r="A122" s="1">
        <v>45412</v>
      </c>
      <c r="B122" t="s">
        <v>10</v>
      </c>
      <c r="C122" t="s">
        <v>8</v>
      </c>
      <c r="D122">
        <v>309</v>
      </c>
      <c r="E122">
        <v>676</v>
      </c>
    </row>
    <row r="123" spans="1:5" x14ac:dyDescent="0.25">
      <c r="A123" s="1">
        <v>45413</v>
      </c>
      <c r="B123" t="s">
        <v>10</v>
      </c>
      <c r="C123" t="s">
        <v>13</v>
      </c>
      <c r="D123">
        <v>555</v>
      </c>
      <c r="E123">
        <v>723</v>
      </c>
    </row>
    <row r="124" spans="1:5" x14ac:dyDescent="0.25">
      <c r="A124" s="1">
        <v>45414</v>
      </c>
      <c r="B124" t="s">
        <v>12</v>
      </c>
      <c r="C124" t="s">
        <v>13</v>
      </c>
      <c r="D124">
        <v>568</v>
      </c>
      <c r="E124">
        <v>786</v>
      </c>
    </row>
    <row r="125" spans="1:5" x14ac:dyDescent="0.25">
      <c r="A125" s="1">
        <v>45415</v>
      </c>
      <c r="B125" t="s">
        <v>12</v>
      </c>
      <c r="C125" t="s">
        <v>11</v>
      </c>
      <c r="D125">
        <v>573</v>
      </c>
      <c r="E125">
        <v>795</v>
      </c>
    </row>
    <row r="126" spans="1:5" x14ac:dyDescent="0.25">
      <c r="A126" s="1">
        <v>45416</v>
      </c>
      <c r="B126" t="s">
        <v>12</v>
      </c>
      <c r="C126" t="s">
        <v>11</v>
      </c>
      <c r="D126">
        <v>672</v>
      </c>
      <c r="E126">
        <v>116</v>
      </c>
    </row>
    <row r="127" spans="1:5" x14ac:dyDescent="0.25">
      <c r="A127" s="1">
        <v>45417</v>
      </c>
      <c r="B127" t="s">
        <v>7</v>
      </c>
      <c r="C127" t="s">
        <v>11</v>
      </c>
      <c r="D127">
        <v>500</v>
      </c>
      <c r="E127">
        <v>506</v>
      </c>
    </row>
    <row r="128" spans="1:5" x14ac:dyDescent="0.25">
      <c r="A128" s="1">
        <v>45418</v>
      </c>
      <c r="B128" t="s">
        <v>12</v>
      </c>
      <c r="C128" t="s">
        <v>14</v>
      </c>
      <c r="D128">
        <v>156</v>
      </c>
      <c r="E128">
        <v>175</v>
      </c>
    </row>
    <row r="129" spans="1:5" x14ac:dyDescent="0.25">
      <c r="A129" s="1">
        <v>45419</v>
      </c>
      <c r="B129" t="s">
        <v>12</v>
      </c>
      <c r="C129" t="s">
        <v>13</v>
      </c>
      <c r="D129">
        <v>-100</v>
      </c>
      <c r="E129">
        <v>188</v>
      </c>
    </row>
    <row r="130" spans="1:5" x14ac:dyDescent="0.25">
      <c r="A130" s="1">
        <v>45420</v>
      </c>
      <c r="B130" t="s">
        <v>12</v>
      </c>
      <c r="C130" t="s">
        <v>13</v>
      </c>
      <c r="D130">
        <v>849</v>
      </c>
      <c r="E130">
        <v>674</v>
      </c>
    </row>
    <row r="131" spans="1:5" x14ac:dyDescent="0.25">
      <c r="A131" s="1">
        <v>45421</v>
      </c>
      <c r="B131" t="s">
        <v>10</v>
      </c>
      <c r="C131" t="s">
        <v>8</v>
      </c>
      <c r="D131">
        <v>763</v>
      </c>
      <c r="E131">
        <v>780</v>
      </c>
    </row>
    <row r="132" spans="1:5" x14ac:dyDescent="0.25">
      <c r="A132" s="1">
        <v>45422</v>
      </c>
      <c r="B132" t="s">
        <v>7</v>
      </c>
      <c r="C132" t="s">
        <v>11</v>
      </c>
      <c r="D132">
        <v>380</v>
      </c>
      <c r="E132">
        <v>205</v>
      </c>
    </row>
    <row r="133" spans="1:5" x14ac:dyDescent="0.25">
      <c r="A133" s="1">
        <v>45423</v>
      </c>
      <c r="B133" t="s">
        <v>10</v>
      </c>
      <c r="C133" t="s">
        <v>13</v>
      </c>
      <c r="D133">
        <v>104</v>
      </c>
      <c r="E133">
        <v>746</v>
      </c>
    </row>
    <row r="134" spans="1:5" x14ac:dyDescent="0.25">
      <c r="A134" s="1">
        <v>45424</v>
      </c>
      <c r="B134" t="s">
        <v>12</v>
      </c>
      <c r="C134" t="s">
        <v>8</v>
      </c>
      <c r="D134">
        <v>712</v>
      </c>
      <c r="E134">
        <v>170</v>
      </c>
    </row>
    <row r="135" spans="1:5" x14ac:dyDescent="0.25">
      <c r="A135" s="1">
        <v>45425</v>
      </c>
      <c r="B135" t="s">
        <v>15</v>
      </c>
      <c r="C135" t="s">
        <v>13</v>
      </c>
      <c r="D135">
        <v>405</v>
      </c>
      <c r="E135">
        <v>371</v>
      </c>
    </row>
    <row r="136" spans="1:5" x14ac:dyDescent="0.25">
      <c r="A136" s="1">
        <v>45426</v>
      </c>
      <c r="B136" t="s">
        <v>7</v>
      </c>
      <c r="C136" t="s">
        <v>13</v>
      </c>
      <c r="D136">
        <v>443</v>
      </c>
      <c r="E136">
        <v>498</v>
      </c>
    </row>
    <row r="137" spans="1:5" x14ac:dyDescent="0.25">
      <c r="A137" s="1">
        <v>45427</v>
      </c>
      <c r="B137" t="s">
        <v>12</v>
      </c>
      <c r="C137" t="s">
        <v>8</v>
      </c>
      <c r="E137">
        <v>759</v>
      </c>
    </row>
    <row r="138" spans="1:5" x14ac:dyDescent="0.25">
      <c r="A138" s="1">
        <v>45428</v>
      </c>
      <c r="B138" t="s">
        <v>15</v>
      </c>
      <c r="C138" t="s">
        <v>8</v>
      </c>
      <c r="D138">
        <v>666</v>
      </c>
      <c r="E138">
        <v>340</v>
      </c>
    </row>
    <row r="139" spans="1:5" x14ac:dyDescent="0.25">
      <c r="A139" s="1">
        <v>45429</v>
      </c>
      <c r="B139" t="s">
        <v>7</v>
      </c>
      <c r="C139" t="s">
        <v>8</v>
      </c>
      <c r="D139">
        <v>253</v>
      </c>
      <c r="E139">
        <v>53</v>
      </c>
    </row>
    <row r="140" spans="1:5" x14ac:dyDescent="0.25">
      <c r="A140" s="1">
        <v>45430</v>
      </c>
      <c r="B140" t="s">
        <v>15</v>
      </c>
      <c r="C140" t="s">
        <v>14</v>
      </c>
      <c r="D140">
        <v>888</v>
      </c>
      <c r="E140">
        <v>750</v>
      </c>
    </row>
    <row r="141" spans="1:5" x14ac:dyDescent="0.25">
      <c r="A141" s="1">
        <v>45431</v>
      </c>
      <c r="B141" t="s">
        <v>7</v>
      </c>
      <c r="C141" t="s">
        <v>11</v>
      </c>
      <c r="D141">
        <v>453</v>
      </c>
      <c r="E141">
        <v>288</v>
      </c>
    </row>
    <row r="142" spans="1:5" x14ac:dyDescent="0.25">
      <c r="A142" s="1">
        <v>45432</v>
      </c>
      <c r="B142" t="s">
        <v>12</v>
      </c>
      <c r="C142" t="s">
        <v>11</v>
      </c>
      <c r="D142">
        <v>457</v>
      </c>
      <c r="E142">
        <v>727</v>
      </c>
    </row>
    <row r="143" spans="1:5" x14ac:dyDescent="0.25">
      <c r="A143" s="1">
        <v>45433</v>
      </c>
      <c r="B143" t="s">
        <v>10</v>
      </c>
      <c r="C143" t="s">
        <v>14</v>
      </c>
      <c r="D143">
        <v>797</v>
      </c>
      <c r="E143">
        <v>221</v>
      </c>
    </row>
    <row r="144" spans="1:5" x14ac:dyDescent="0.25">
      <c r="A144" s="1">
        <v>45434</v>
      </c>
      <c r="B144" t="s">
        <v>15</v>
      </c>
      <c r="C144" t="s">
        <v>8</v>
      </c>
      <c r="D144">
        <v>507</v>
      </c>
      <c r="E144">
        <v>773</v>
      </c>
    </row>
    <row r="145" spans="1:5" x14ac:dyDescent="0.25">
      <c r="A145" s="1">
        <v>45435</v>
      </c>
      <c r="B145" t="s">
        <v>15</v>
      </c>
      <c r="C145" t="s">
        <v>8</v>
      </c>
      <c r="D145">
        <v>511</v>
      </c>
      <c r="E145">
        <v>632</v>
      </c>
    </row>
    <row r="146" spans="1:5" x14ac:dyDescent="0.25">
      <c r="A146" s="1">
        <v>45436</v>
      </c>
      <c r="B146" t="s">
        <v>12</v>
      </c>
      <c r="C146" t="s">
        <v>14</v>
      </c>
      <c r="D146">
        <v>129</v>
      </c>
      <c r="E146">
        <v>710</v>
      </c>
    </row>
    <row r="147" spans="1:5" x14ac:dyDescent="0.25">
      <c r="A147" s="1">
        <v>45437</v>
      </c>
      <c r="B147" t="s">
        <v>7</v>
      </c>
      <c r="C147" t="s">
        <v>13</v>
      </c>
      <c r="D147">
        <v>471</v>
      </c>
      <c r="E147">
        <v>677</v>
      </c>
    </row>
    <row r="148" spans="1:5" x14ac:dyDescent="0.25">
      <c r="A148" s="1">
        <v>45438</v>
      </c>
      <c r="B148" t="s">
        <v>10</v>
      </c>
      <c r="C148" t="s">
        <v>14</v>
      </c>
      <c r="E148">
        <v>654</v>
      </c>
    </row>
    <row r="149" spans="1:5" x14ac:dyDescent="0.25">
      <c r="A149" s="1">
        <v>45439</v>
      </c>
      <c r="B149" t="s">
        <v>12</v>
      </c>
      <c r="C149" t="s">
        <v>14</v>
      </c>
      <c r="D149">
        <v>731</v>
      </c>
      <c r="E149">
        <v>664</v>
      </c>
    </row>
    <row r="150" spans="1:5" x14ac:dyDescent="0.25">
      <c r="A150" s="1">
        <v>45440</v>
      </c>
      <c r="B150" t="s">
        <v>12</v>
      </c>
      <c r="C150" t="s">
        <v>13</v>
      </c>
      <c r="D150">
        <v>954</v>
      </c>
      <c r="E150">
        <v>429</v>
      </c>
    </row>
    <row r="151" spans="1:5" x14ac:dyDescent="0.25">
      <c r="A151" s="1">
        <v>45441</v>
      </c>
      <c r="B151" t="s">
        <v>10</v>
      </c>
      <c r="C151" t="s">
        <v>11</v>
      </c>
      <c r="D151">
        <v>602</v>
      </c>
      <c r="E151">
        <v>759</v>
      </c>
    </row>
    <row r="152" spans="1:5" x14ac:dyDescent="0.25">
      <c r="A152" s="1">
        <v>45442</v>
      </c>
      <c r="B152" t="s">
        <v>7</v>
      </c>
      <c r="C152" t="s">
        <v>8</v>
      </c>
      <c r="D152">
        <v>107</v>
      </c>
      <c r="E152">
        <v>159</v>
      </c>
    </row>
    <row r="153" spans="1:5" x14ac:dyDescent="0.25">
      <c r="A153" s="1">
        <v>45443</v>
      </c>
      <c r="B153" t="s">
        <v>15</v>
      </c>
      <c r="C153" t="s">
        <v>11</v>
      </c>
      <c r="D153">
        <v>717</v>
      </c>
      <c r="E153">
        <v>379</v>
      </c>
    </row>
    <row r="154" spans="1:5" x14ac:dyDescent="0.25">
      <c r="A154" s="1">
        <v>45444</v>
      </c>
      <c r="B154" t="s">
        <v>15</v>
      </c>
      <c r="C154" t="s">
        <v>8</v>
      </c>
      <c r="E154">
        <v>150</v>
      </c>
    </row>
    <row r="155" spans="1:5" x14ac:dyDescent="0.25">
      <c r="A155" s="1">
        <v>45445</v>
      </c>
      <c r="B155" t="s">
        <v>10</v>
      </c>
      <c r="C155" t="s">
        <v>11</v>
      </c>
      <c r="D155">
        <v>794</v>
      </c>
      <c r="E155">
        <v>744</v>
      </c>
    </row>
    <row r="156" spans="1:5" x14ac:dyDescent="0.25">
      <c r="A156" s="1">
        <v>45446</v>
      </c>
      <c r="B156" t="s">
        <v>15</v>
      </c>
      <c r="C156" t="s">
        <v>14</v>
      </c>
      <c r="D156">
        <v>996</v>
      </c>
      <c r="E156">
        <v>557</v>
      </c>
    </row>
    <row r="157" spans="1:5" x14ac:dyDescent="0.25">
      <c r="A157" s="1">
        <v>45447</v>
      </c>
      <c r="B157" t="s">
        <v>10</v>
      </c>
      <c r="C157" t="s">
        <v>11</v>
      </c>
      <c r="D157">
        <v>951</v>
      </c>
      <c r="E157">
        <v>721</v>
      </c>
    </row>
    <row r="158" spans="1:5" x14ac:dyDescent="0.25">
      <c r="A158" s="1">
        <v>45448</v>
      </c>
      <c r="B158" t="s">
        <v>10</v>
      </c>
      <c r="C158" t="s">
        <v>14</v>
      </c>
      <c r="D158">
        <v>476</v>
      </c>
      <c r="E158">
        <v>643</v>
      </c>
    </row>
    <row r="159" spans="1:5" x14ac:dyDescent="0.25">
      <c r="A159" s="1">
        <v>45449</v>
      </c>
      <c r="B159" t="s">
        <v>10</v>
      </c>
      <c r="C159" t="s">
        <v>8</v>
      </c>
      <c r="D159">
        <v>821</v>
      </c>
      <c r="E159">
        <v>85</v>
      </c>
    </row>
    <row r="160" spans="1:5" x14ac:dyDescent="0.25">
      <c r="A160" s="1">
        <v>45450</v>
      </c>
      <c r="B160" t="s">
        <v>15</v>
      </c>
      <c r="C160" t="s">
        <v>8</v>
      </c>
      <c r="D160">
        <v>248</v>
      </c>
      <c r="E160">
        <v>287</v>
      </c>
    </row>
    <row r="161" spans="1:5" x14ac:dyDescent="0.25">
      <c r="A161" s="1">
        <v>45451</v>
      </c>
      <c r="B161" t="s">
        <v>12</v>
      </c>
      <c r="C161" t="s">
        <v>8</v>
      </c>
      <c r="D161">
        <v>985</v>
      </c>
      <c r="E161">
        <v>293</v>
      </c>
    </row>
    <row r="162" spans="1:5" x14ac:dyDescent="0.25">
      <c r="A162" s="1">
        <v>45452</v>
      </c>
      <c r="B162" t="s">
        <v>15</v>
      </c>
      <c r="C162" t="s">
        <v>14</v>
      </c>
      <c r="D162">
        <v>359</v>
      </c>
      <c r="E162">
        <v>300</v>
      </c>
    </row>
    <row r="163" spans="1:5" x14ac:dyDescent="0.25">
      <c r="A163" s="1">
        <v>45453</v>
      </c>
      <c r="B163" t="s">
        <v>15</v>
      </c>
      <c r="C163" t="s">
        <v>13</v>
      </c>
      <c r="D163">
        <v>-100</v>
      </c>
      <c r="E163">
        <v>442</v>
      </c>
    </row>
    <row r="164" spans="1:5" x14ac:dyDescent="0.25">
      <c r="A164" s="1">
        <v>45454</v>
      </c>
      <c r="B164" t="s">
        <v>10</v>
      </c>
      <c r="C164" t="s">
        <v>14</v>
      </c>
      <c r="D164">
        <v>910</v>
      </c>
      <c r="E164">
        <v>331</v>
      </c>
    </row>
    <row r="165" spans="1:5" x14ac:dyDescent="0.25">
      <c r="A165" s="1">
        <v>45455</v>
      </c>
      <c r="B165" t="s">
        <v>15</v>
      </c>
      <c r="C165" t="s">
        <v>13</v>
      </c>
      <c r="D165">
        <v>677</v>
      </c>
      <c r="E165">
        <v>71</v>
      </c>
    </row>
    <row r="166" spans="1:5" x14ac:dyDescent="0.25">
      <c r="A166" s="1">
        <v>45456</v>
      </c>
      <c r="B166" t="s">
        <v>10</v>
      </c>
      <c r="C166" t="s">
        <v>14</v>
      </c>
      <c r="E166">
        <v>479</v>
      </c>
    </row>
    <row r="167" spans="1:5" x14ac:dyDescent="0.25">
      <c r="A167" s="1">
        <v>45457</v>
      </c>
      <c r="B167" t="s">
        <v>10</v>
      </c>
      <c r="C167" t="s">
        <v>14</v>
      </c>
      <c r="D167">
        <v>904</v>
      </c>
      <c r="E167">
        <v>279</v>
      </c>
    </row>
    <row r="168" spans="1:5" x14ac:dyDescent="0.25">
      <c r="A168" s="1">
        <v>45458</v>
      </c>
      <c r="B168" t="s">
        <v>15</v>
      </c>
      <c r="C168" t="s">
        <v>14</v>
      </c>
      <c r="D168">
        <v>424</v>
      </c>
      <c r="E168">
        <v>450</v>
      </c>
    </row>
    <row r="169" spans="1:5" x14ac:dyDescent="0.25">
      <c r="A169" s="1">
        <v>45459</v>
      </c>
      <c r="B169" t="s">
        <v>15</v>
      </c>
      <c r="C169" t="s">
        <v>14</v>
      </c>
      <c r="D169">
        <v>212</v>
      </c>
      <c r="E169">
        <v>203</v>
      </c>
    </row>
    <row r="170" spans="1:5" x14ac:dyDescent="0.25">
      <c r="A170" s="1">
        <v>45460</v>
      </c>
      <c r="B170" t="s">
        <v>10</v>
      </c>
      <c r="C170" t="s">
        <v>8</v>
      </c>
      <c r="E170">
        <v>169</v>
      </c>
    </row>
    <row r="171" spans="1:5" x14ac:dyDescent="0.25">
      <c r="A171" s="1">
        <v>45461</v>
      </c>
      <c r="B171" t="s">
        <v>7</v>
      </c>
      <c r="C171" t="s">
        <v>13</v>
      </c>
      <c r="D171">
        <v>337</v>
      </c>
      <c r="E171">
        <v>727</v>
      </c>
    </row>
    <row r="172" spans="1:5" x14ac:dyDescent="0.25">
      <c r="A172" s="1">
        <v>45462</v>
      </c>
      <c r="B172" t="s">
        <v>12</v>
      </c>
      <c r="C172" t="s">
        <v>13</v>
      </c>
      <c r="D172">
        <v>460</v>
      </c>
      <c r="E172">
        <v>435</v>
      </c>
    </row>
    <row r="173" spans="1:5" x14ac:dyDescent="0.25">
      <c r="A173" s="1">
        <v>45463</v>
      </c>
      <c r="B173" t="s">
        <v>15</v>
      </c>
      <c r="C173" t="s">
        <v>14</v>
      </c>
      <c r="D173">
        <v>959</v>
      </c>
      <c r="E173">
        <v>439</v>
      </c>
    </row>
    <row r="174" spans="1:5" x14ac:dyDescent="0.25">
      <c r="A174" s="1">
        <v>45464</v>
      </c>
      <c r="B174" t="s">
        <v>10</v>
      </c>
      <c r="C174" t="s">
        <v>13</v>
      </c>
      <c r="D174">
        <v>655</v>
      </c>
      <c r="E174">
        <v>760</v>
      </c>
    </row>
    <row r="175" spans="1:5" x14ac:dyDescent="0.25">
      <c r="A175" s="1">
        <v>45465</v>
      </c>
      <c r="B175" t="s">
        <v>15</v>
      </c>
      <c r="C175" t="s">
        <v>11</v>
      </c>
      <c r="D175">
        <v>163</v>
      </c>
      <c r="E175">
        <v>446</v>
      </c>
    </row>
    <row r="176" spans="1:5" x14ac:dyDescent="0.25">
      <c r="A176" s="1">
        <v>45466</v>
      </c>
      <c r="B176" t="s">
        <v>12</v>
      </c>
      <c r="C176" t="s">
        <v>11</v>
      </c>
      <c r="D176">
        <v>554</v>
      </c>
      <c r="E176">
        <v>396</v>
      </c>
    </row>
    <row r="177" spans="1:5" x14ac:dyDescent="0.25">
      <c r="A177" s="1">
        <v>45467</v>
      </c>
      <c r="B177" t="s">
        <v>15</v>
      </c>
      <c r="C177" t="s">
        <v>8</v>
      </c>
      <c r="D177">
        <v>365</v>
      </c>
      <c r="E177">
        <v>636</v>
      </c>
    </row>
    <row r="178" spans="1:5" x14ac:dyDescent="0.25">
      <c r="A178" s="1">
        <v>45468</v>
      </c>
      <c r="B178" t="s">
        <v>12</v>
      </c>
      <c r="C178" t="s">
        <v>8</v>
      </c>
      <c r="D178">
        <v>544</v>
      </c>
      <c r="E178">
        <v>128</v>
      </c>
    </row>
    <row r="179" spans="1:5" x14ac:dyDescent="0.25">
      <c r="A179" s="1">
        <v>45469</v>
      </c>
      <c r="B179" t="s">
        <v>7</v>
      </c>
      <c r="C179" t="s">
        <v>8</v>
      </c>
      <c r="E179">
        <v>634</v>
      </c>
    </row>
    <row r="180" spans="1:5" x14ac:dyDescent="0.25">
      <c r="A180" s="1">
        <v>45470</v>
      </c>
      <c r="B180" t="s">
        <v>15</v>
      </c>
      <c r="C180" t="s">
        <v>11</v>
      </c>
      <c r="D180">
        <v>723</v>
      </c>
      <c r="E180">
        <v>249</v>
      </c>
    </row>
    <row r="181" spans="1:5" x14ac:dyDescent="0.25">
      <c r="A181" s="1">
        <v>45471</v>
      </c>
      <c r="B181" t="s">
        <v>15</v>
      </c>
      <c r="C181" t="s">
        <v>8</v>
      </c>
      <c r="D181">
        <v>519</v>
      </c>
      <c r="E181">
        <v>183</v>
      </c>
    </row>
    <row r="182" spans="1:5" x14ac:dyDescent="0.25">
      <c r="A182" s="1">
        <v>45472</v>
      </c>
      <c r="B182" t="s">
        <v>10</v>
      </c>
      <c r="C182" t="s">
        <v>8</v>
      </c>
      <c r="D182">
        <v>439</v>
      </c>
      <c r="E182">
        <v>609</v>
      </c>
    </row>
    <row r="183" spans="1:5" x14ac:dyDescent="0.25">
      <c r="A183" s="1">
        <v>45473</v>
      </c>
      <c r="B183" t="s">
        <v>7</v>
      </c>
      <c r="C183" t="s">
        <v>14</v>
      </c>
      <c r="D183">
        <v>-100</v>
      </c>
      <c r="E183">
        <v>749</v>
      </c>
    </row>
    <row r="184" spans="1:5" x14ac:dyDescent="0.25">
      <c r="A184" s="1">
        <v>45474</v>
      </c>
      <c r="B184" t="s">
        <v>10</v>
      </c>
      <c r="C184" t="s">
        <v>8</v>
      </c>
      <c r="D184">
        <v>374</v>
      </c>
      <c r="E184">
        <v>220</v>
      </c>
    </row>
    <row r="185" spans="1:5" x14ac:dyDescent="0.25">
      <c r="A185" s="1">
        <v>45475</v>
      </c>
      <c r="B185" t="s">
        <v>15</v>
      </c>
      <c r="C185" t="s">
        <v>11</v>
      </c>
      <c r="E185">
        <v>501</v>
      </c>
    </row>
    <row r="186" spans="1:5" x14ac:dyDescent="0.25">
      <c r="A186" s="1">
        <v>45476</v>
      </c>
      <c r="B186" t="s">
        <v>10</v>
      </c>
      <c r="C186" t="s">
        <v>8</v>
      </c>
      <c r="D186">
        <v>942</v>
      </c>
      <c r="E186">
        <v>188</v>
      </c>
    </row>
    <row r="187" spans="1:5" x14ac:dyDescent="0.25">
      <c r="A187" s="1">
        <v>45477</v>
      </c>
      <c r="B187" t="s">
        <v>7</v>
      </c>
      <c r="C187" t="s">
        <v>8</v>
      </c>
      <c r="D187">
        <v>326</v>
      </c>
      <c r="E187">
        <v>363</v>
      </c>
    </row>
    <row r="188" spans="1:5" x14ac:dyDescent="0.25">
      <c r="A188" s="1">
        <v>45478</v>
      </c>
      <c r="B188" t="s">
        <v>7</v>
      </c>
      <c r="C188" t="s">
        <v>14</v>
      </c>
      <c r="D188">
        <v>325</v>
      </c>
      <c r="E188">
        <v>525</v>
      </c>
    </row>
    <row r="189" spans="1:5" x14ac:dyDescent="0.25">
      <c r="A189" s="1">
        <v>45479</v>
      </c>
      <c r="B189" t="s">
        <v>15</v>
      </c>
      <c r="C189" t="s">
        <v>14</v>
      </c>
      <c r="D189">
        <v>743</v>
      </c>
      <c r="E189">
        <v>395</v>
      </c>
    </row>
    <row r="190" spans="1:5" x14ac:dyDescent="0.25">
      <c r="A190" s="1">
        <v>45480</v>
      </c>
      <c r="B190" t="s">
        <v>7</v>
      </c>
      <c r="C190" t="s">
        <v>8</v>
      </c>
      <c r="D190">
        <v>328</v>
      </c>
      <c r="E190">
        <v>437</v>
      </c>
    </row>
    <row r="191" spans="1:5" x14ac:dyDescent="0.25">
      <c r="A191" s="1">
        <v>45481</v>
      </c>
      <c r="B191" t="s">
        <v>15</v>
      </c>
      <c r="C191" t="s">
        <v>8</v>
      </c>
      <c r="D191">
        <v>926</v>
      </c>
      <c r="E191">
        <v>175</v>
      </c>
    </row>
    <row r="192" spans="1:5" x14ac:dyDescent="0.25">
      <c r="A192" s="1">
        <v>45482</v>
      </c>
      <c r="B192" t="s">
        <v>10</v>
      </c>
      <c r="C192" t="s">
        <v>11</v>
      </c>
      <c r="D192">
        <v>997</v>
      </c>
      <c r="E192">
        <v>768</v>
      </c>
    </row>
    <row r="193" spans="1:5" x14ac:dyDescent="0.25">
      <c r="A193" s="1">
        <v>45483</v>
      </c>
      <c r="B193" t="s">
        <v>15</v>
      </c>
      <c r="C193" t="s">
        <v>13</v>
      </c>
      <c r="D193">
        <v>469</v>
      </c>
      <c r="E193">
        <v>247</v>
      </c>
    </row>
    <row r="194" spans="1:5" x14ac:dyDescent="0.25">
      <c r="A194" s="1">
        <v>45484</v>
      </c>
      <c r="B194" t="s">
        <v>15</v>
      </c>
      <c r="C194" t="s">
        <v>13</v>
      </c>
      <c r="D194">
        <v>228</v>
      </c>
      <c r="E194">
        <v>748</v>
      </c>
    </row>
    <row r="195" spans="1:5" x14ac:dyDescent="0.25">
      <c r="A195" s="1">
        <v>45485</v>
      </c>
      <c r="B195" t="s">
        <v>10</v>
      </c>
      <c r="C195" t="s">
        <v>8</v>
      </c>
      <c r="D195">
        <v>907</v>
      </c>
      <c r="E195">
        <v>67</v>
      </c>
    </row>
    <row r="196" spans="1:5" x14ac:dyDescent="0.25">
      <c r="A196" s="1">
        <v>45486</v>
      </c>
      <c r="B196" t="s">
        <v>7</v>
      </c>
      <c r="C196" t="s">
        <v>13</v>
      </c>
      <c r="D196">
        <v>124</v>
      </c>
      <c r="E196">
        <v>759</v>
      </c>
    </row>
    <row r="197" spans="1:5" x14ac:dyDescent="0.25">
      <c r="A197" s="1">
        <v>45487</v>
      </c>
      <c r="B197" t="s">
        <v>7</v>
      </c>
      <c r="C197" t="s">
        <v>13</v>
      </c>
      <c r="D197">
        <v>798</v>
      </c>
      <c r="E197">
        <v>497</v>
      </c>
    </row>
    <row r="198" spans="1:5" x14ac:dyDescent="0.25">
      <c r="A198" s="1">
        <v>45488</v>
      </c>
      <c r="B198" t="s">
        <v>7</v>
      </c>
      <c r="C198" t="s">
        <v>13</v>
      </c>
      <c r="D198">
        <v>392</v>
      </c>
      <c r="E198">
        <v>400</v>
      </c>
    </row>
    <row r="199" spans="1:5" x14ac:dyDescent="0.25">
      <c r="A199" s="1">
        <v>45489</v>
      </c>
      <c r="B199" t="s">
        <v>12</v>
      </c>
      <c r="C199" t="s">
        <v>11</v>
      </c>
      <c r="D199">
        <v>455</v>
      </c>
      <c r="E199">
        <v>714</v>
      </c>
    </row>
    <row r="200" spans="1:5" x14ac:dyDescent="0.25">
      <c r="A200" s="1">
        <v>45490</v>
      </c>
      <c r="B200" t="s">
        <v>15</v>
      </c>
      <c r="C200" t="s">
        <v>11</v>
      </c>
      <c r="D200">
        <v>937</v>
      </c>
      <c r="E200">
        <v>693</v>
      </c>
    </row>
    <row r="201" spans="1:5" x14ac:dyDescent="0.25">
      <c r="A201" s="1">
        <v>45491</v>
      </c>
      <c r="B201" t="s">
        <v>7</v>
      </c>
      <c r="C201" t="s">
        <v>8</v>
      </c>
      <c r="D201">
        <v>234</v>
      </c>
      <c r="E201">
        <v>375</v>
      </c>
    </row>
    <row r="202" spans="1:5" x14ac:dyDescent="0.25">
      <c r="A202" s="1">
        <v>45303</v>
      </c>
      <c r="B202" t="s">
        <v>15</v>
      </c>
      <c r="C202" t="s">
        <v>13</v>
      </c>
      <c r="D202">
        <v>957</v>
      </c>
      <c r="E202">
        <v>487</v>
      </c>
    </row>
    <row r="203" spans="1:5" x14ac:dyDescent="0.25">
      <c r="A203" s="1">
        <v>45433</v>
      </c>
      <c r="B203" t="s">
        <v>10</v>
      </c>
      <c r="C203" t="s">
        <v>14</v>
      </c>
      <c r="D203">
        <v>797</v>
      </c>
      <c r="E203">
        <v>221</v>
      </c>
    </row>
    <row r="204" spans="1:5" x14ac:dyDescent="0.25">
      <c r="A204" s="1">
        <v>45300</v>
      </c>
      <c r="B204" t="s">
        <v>12</v>
      </c>
      <c r="C204" t="s">
        <v>14</v>
      </c>
      <c r="D204">
        <v>274</v>
      </c>
      <c r="E204">
        <v>298</v>
      </c>
    </row>
    <row r="205" spans="1:5" x14ac:dyDescent="0.25">
      <c r="A205" s="1">
        <v>45361</v>
      </c>
      <c r="B205" t="s">
        <v>7</v>
      </c>
      <c r="C205" t="s">
        <v>8</v>
      </c>
      <c r="D205">
        <v>104</v>
      </c>
      <c r="E205">
        <v>752</v>
      </c>
    </row>
    <row r="206" spans="1:5" x14ac:dyDescent="0.25">
      <c r="A206" s="1">
        <v>45386</v>
      </c>
      <c r="B206" t="s">
        <v>10</v>
      </c>
      <c r="C206" t="s">
        <v>14</v>
      </c>
      <c r="D206">
        <v>153</v>
      </c>
      <c r="E206">
        <v>377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7E7F1-42E9-4612-83FD-4AE090BC0945}">
  <dimension ref="A1:H206"/>
  <sheetViews>
    <sheetView topLeftCell="A170" workbookViewId="0">
      <selection sqref="A1:H206"/>
    </sheetView>
  </sheetViews>
  <sheetFormatPr defaultRowHeight="15" x14ac:dyDescent="0.25"/>
  <cols>
    <col min="1" max="1" width="15.5703125" bestFit="1" customWidth="1"/>
    <col min="2" max="2" width="9.5703125" bestFit="1" customWidth="1"/>
    <col min="3" max="3" width="10.28515625" bestFit="1" customWidth="1"/>
    <col min="4" max="4" width="8.140625" bestFit="1" customWidth="1"/>
    <col min="5" max="5" width="7.5703125" bestFit="1" customWidth="1"/>
    <col min="6" max="6" width="9" bestFit="1" customWidth="1"/>
    <col min="7" max="7" width="7.28515625" bestFit="1" customWidth="1"/>
  </cols>
  <sheetData>
    <row r="1" spans="1:8" x14ac:dyDescent="0.25">
      <c r="A1" t="s">
        <v>0</v>
      </c>
      <c r="B1" t="s">
        <v>1</v>
      </c>
      <c r="C1" t="s">
        <v>2</v>
      </c>
      <c r="D1" t="s">
        <v>3</v>
      </c>
      <c r="E1" t="s">
        <v>4</v>
      </c>
      <c r="F1" t="s">
        <v>5</v>
      </c>
      <c r="G1" t="s">
        <v>6</v>
      </c>
      <c r="H1" t="s">
        <v>22</v>
      </c>
    </row>
    <row r="2" spans="1:8" x14ac:dyDescent="0.25">
      <c r="A2" s="1">
        <v>45292</v>
      </c>
      <c r="B2" s="2" t="s">
        <v>7</v>
      </c>
      <c r="C2" s="2" t="s">
        <v>8</v>
      </c>
      <c r="D2">
        <v>810</v>
      </c>
      <c r="E2">
        <v>53</v>
      </c>
      <c r="F2" s="2" t="s">
        <v>9</v>
      </c>
      <c r="G2">
        <v>2024</v>
      </c>
      <c r="H2">
        <f t="shared" ref="H2:H65" si="0">D2-E2</f>
        <v>757</v>
      </c>
    </row>
    <row r="3" spans="1:8" x14ac:dyDescent="0.25">
      <c r="A3" s="1">
        <v>45293</v>
      </c>
      <c r="B3" s="2" t="s">
        <v>10</v>
      </c>
      <c r="C3" s="2" t="s">
        <v>11</v>
      </c>
      <c r="D3">
        <v>374</v>
      </c>
      <c r="E3">
        <v>276</v>
      </c>
      <c r="F3" s="2" t="s">
        <v>9</v>
      </c>
      <c r="G3">
        <v>2024</v>
      </c>
      <c r="H3">
        <f t="shared" si="0"/>
        <v>98</v>
      </c>
    </row>
    <row r="4" spans="1:8" x14ac:dyDescent="0.25">
      <c r="A4" s="1">
        <v>45294</v>
      </c>
      <c r="B4" s="2" t="s">
        <v>12</v>
      </c>
      <c r="C4" s="2" t="s">
        <v>13</v>
      </c>
      <c r="D4">
        <v>960</v>
      </c>
      <c r="E4">
        <v>730</v>
      </c>
      <c r="F4" s="2" t="s">
        <v>9</v>
      </c>
      <c r="G4">
        <v>2024</v>
      </c>
      <c r="H4">
        <f t="shared" si="0"/>
        <v>230</v>
      </c>
    </row>
    <row r="5" spans="1:8" x14ac:dyDescent="0.25">
      <c r="A5" s="1">
        <v>45295</v>
      </c>
      <c r="B5" s="2" t="s">
        <v>7</v>
      </c>
      <c r="C5" s="2" t="s">
        <v>11</v>
      </c>
      <c r="D5">
        <v>143</v>
      </c>
      <c r="E5">
        <v>494</v>
      </c>
      <c r="F5" s="2" t="s">
        <v>9</v>
      </c>
      <c r="G5">
        <v>2024</v>
      </c>
      <c r="H5">
        <f t="shared" si="0"/>
        <v>-351</v>
      </c>
    </row>
    <row r="6" spans="1:8" x14ac:dyDescent="0.25">
      <c r="A6" s="1">
        <v>45296</v>
      </c>
      <c r="B6" s="2" t="s">
        <v>10</v>
      </c>
      <c r="C6" s="2" t="s">
        <v>11</v>
      </c>
      <c r="D6">
        <v>183</v>
      </c>
      <c r="E6">
        <v>467</v>
      </c>
      <c r="F6" s="2" t="s">
        <v>9</v>
      </c>
      <c r="G6">
        <v>2024</v>
      </c>
      <c r="H6">
        <f t="shared" si="0"/>
        <v>-284</v>
      </c>
    </row>
    <row r="7" spans="1:8" x14ac:dyDescent="0.25">
      <c r="A7" s="1">
        <v>45297</v>
      </c>
      <c r="B7" s="2" t="s">
        <v>10</v>
      </c>
      <c r="C7" s="2" t="s">
        <v>13</v>
      </c>
      <c r="D7">
        <v>533</v>
      </c>
      <c r="E7">
        <v>334</v>
      </c>
      <c r="F7" s="2" t="s">
        <v>9</v>
      </c>
      <c r="G7">
        <v>2024</v>
      </c>
      <c r="H7">
        <f t="shared" si="0"/>
        <v>199</v>
      </c>
    </row>
    <row r="8" spans="1:8" x14ac:dyDescent="0.25">
      <c r="A8" s="1">
        <v>45298</v>
      </c>
      <c r="B8" s="2" t="s">
        <v>10</v>
      </c>
      <c r="C8" s="2" t="s">
        <v>8</v>
      </c>
      <c r="D8">
        <v>909</v>
      </c>
      <c r="E8">
        <v>76</v>
      </c>
      <c r="F8" s="2" t="s">
        <v>9</v>
      </c>
      <c r="G8">
        <v>2024</v>
      </c>
      <c r="H8">
        <f t="shared" si="0"/>
        <v>833</v>
      </c>
    </row>
    <row r="9" spans="1:8" x14ac:dyDescent="0.25">
      <c r="A9" s="1">
        <v>45299</v>
      </c>
      <c r="B9" s="2" t="s">
        <v>10</v>
      </c>
      <c r="C9" s="2" t="s">
        <v>14</v>
      </c>
      <c r="D9">
        <v>193</v>
      </c>
      <c r="E9">
        <v>786</v>
      </c>
      <c r="F9" s="2" t="s">
        <v>9</v>
      </c>
      <c r="G9">
        <v>2024</v>
      </c>
      <c r="H9">
        <f t="shared" si="0"/>
        <v>-593</v>
      </c>
    </row>
    <row r="10" spans="1:8" x14ac:dyDescent="0.25">
      <c r="A10" s="1">
        <v>45300</v>
      </c>
      <c r="B10" s="2" t="s">
        <v>12</v>
      </c>
      <c r="C10" s="2" t="s">
        <v>14</v>
      </c>
      <c r="D10">
        <v>274</v>
      </c>
      <c r="E10">
        <v>298</v>
      </c>
      <c r="F10" s="2" t="s">
        <v>9</v>
      </c>
      <c r="G10">
        <v>2024</v>
      </c>
      <c r="H10">
        <f t="shared" si="0"/>
        <v>-24</v>
      </c>
    </row>
    <row r="11" spans="1:8" x14ac:dyDescent="0.25">
      <c r="A11" s="1">
        <v>45301</v>
      </c>
      <c r="B11" s="2" t="s">
        <v>10</v>
      </c>
      <c r="C11" s="2" t="s">
        <v>14</v>
      </c>
      <c r="D11">
        <v>505</v>
      </c>
      <c r="E11">
        <v>415</v>
      </c>
      <c r="F11" s="2" t="s">
        <v>9</v>
      </c>
      <c r="G11">
        <v>2024</v>
      </c>
      <c r="H11">
        <f t="shared" si="0"/>
        <v>90</v>
      </c>
    </row>
    <row r="12" spans="1:8" x14ac:dyDescent="0.25">
      <c r="A12" s="1">
        <v>45302</v>
      </c>
      <c r="B12" s="2" t="s">
        <v>12</v>
      </c>
      <c r="C12" s="2" t="s">
        <v>13</v>
      </c>
      <c r="D12">
        <v>301</v>
      </c>
      <c r="E12">
        <v>251</v>
      </c>
      <c r="F12" s="2" t="s">
        <v>9</v>
      </c>
      <c r="G12">
        <v>2024</v>
      </c>
      <c r="H12">
        <f t="shared" si="0"/>
        <v>50</v>
      </c>
    </row>
    <row r="13" spans="1:8" x14ac:dyDescent="0.25">
      <c r="A13" s="1">
        <v>45303</v>
      </c>
      <c r="B13" s="2" t="s">
        <v>15</v>
      </c>
      <c r="C13" s="2" t="s">
        <v>13</v>
      </c>
      <c r="D13">
        <v>957</v>
      </c>
      <c r="E13">
        <v>487</v>
      </c>
      <c r="F13" s="2" t="s">
        <v>9</v>
      </c>
      <c r="G13">
        <v>2024</v>
      </c>
      <c r="H13">
        <f t="shared" si="0"/>
        <v>470</v>
      </c>
    </row>
    <row r="14" spans="1:8" x14ac:dyDescent="0.25">
      <c r="A14" s="1">
        <v>45304</v>
      </c>
      <c r="B14" s="2" t="s">
        <v>7</v>
      </c>
      <c r="C14" s="2" t="s">
        <v>14</v>
      </c>
      <c r="D14">
        <v>598</v>
      </c>
      <c r="E14">
        <v>247</v>
      </c>
      <c r="F14" s="2" t="s">
        <v>9</v>
      </c>
      <c r="G14">
        <v>2024</v>
      </c>
      <c r="H14">
        <f t="shared" si="0"/>
        <v>351</v>
      </c>
    </row>
    <row r="15" spans="1:8" x14ac:dyDescent="0.25">
      <c r="A15" s="1">
        <v>45305</v>
      </c>
      <c r="B15" s="2" t="s">
        <v>10</v>
      </c>
      <c r="C15" s="2" t="s">
        <v>11</v>
      </c>
      <c r="D15">
        <v>580</v>
      </c>
      <c r="E15">
        <v>697</v>
      </c>
      <c r="F15" s="2" t="s">
        <v>9</v>
      </c>
      <c r="G15">
        <v>2024</v>
      </c>
      <c r="H15">
        <f t="shared" si="0"/>
        <v>-117</v>
      </c>
    </row>
    <row r="16" spans="1:8" x14ac:dyDescent="0.25">
      <c r="A16" s="1">
        <v>45306</v>
      </c>
      <c r="B16" s="2" t="s">
        <v>15</v>
      </c>
      <c r="C16" s="2" t="s">
        <v>11</v>
      </c>
      <c r="D16">
        <v>429</v>
      </c>
      <c r="E16">
        <v>687</v>
      </c>
      <c r="F16" s="2" t="s">
        <v>9</v>
      </c>
      <c r="G16">
        <v>2024</v>
      </c>
      <c r="H16">
        <f t="shared" si="0"/>
        <v>-258</v>
      </c>
    </row>
    <row r="17" spans="1:8" x14ac:dyDescent="0.25">
      <c r="A17" s="1">
        <v>45307</v>
      </c>
      <c r="B17" s="2" t="s">
        <v>7</v>
      </c>
      <c r="C17" s="2" t="s">
        <v>14</v>
      </c>
      <c r="D17">
        <v>640</v>
      </c>
      <c r="E17">
        <v>656</v>
      </c>
      <c r="F17" s="2" t="s">
        <v>9</v>
      </c>
      <c r="G17">
        <v>2024</v>
      </c>
      <c r="H17">
        <f t="shared" si="0"/>
        <v>-16</v>
      </c>
    </row>
    <row r="18" spans="1:8" x14ac:dyDescent="0.25">
      <c r="A18" s="1">
        <v>45308</v>
      </c>
      <c r="B18" s="2" t="s">
        <v>7</v>
      </c>
      <c r="C18" s="2" t="s">
        <v>14</v>
      </c>
      <c r="D18">
        <v>309</v>
      </c>
      <c r="E18">
        <v>122</v>
      </c>
      <c r="F18" s="2" t="s">
        <v>9</v>
      </c>
      <c r="G18">
        <v>2024</v>
      </c>
      <c r="H18">
        <f t="shared" si="0"/>
        <v>187</v>
      </c>
    </row>
    <row r="19" spans="1:8" x14ac:dyDescent="0.25">
      <c r="A19" s="1">
        <v>45309</v>
      </c>
      <c r="B19" s="2" t="s">
        <v>7</v>
      </c>
      <c r="C19" s="2" t="s">
        <v>13</v>
      </c>
      <c r="D19">
        <v>717</v>
      </c>
      <c r="E19">
        <v>296</v>
      </c>
      <c r="F19" s="2" t="s">
        <v>9</v>
      </c>
      <c r="G19">
        <v>2024</v>
      </c>
      <c r="H19">
        <f t="shared" si="0"/>
        <v>421</v>
      </c>
    </row>
    <row r="20" spans="1:8" x14ac:dyDescent="0.25">
      <c r="A20" s="1">
        <v>45310</v>
      </c>
      <c r="B20" s="2" t="s">
        <v>15</v>
      </c>
      <c r="C20" s="2" t="s">
        <v>14</v>
      </c>
      <c r="D20">
        <v>996</v>
      </c>
      <c r="E20">
        <v>185</v>
      </c>
      <c r="F20" s="2" t="s">
        <v>9</v>
      </c>
      <c r="G20">
        <v>2024</v>
      </c>
      <c r="H20">
        <f t="shared" si="0"/>
        <v>811</v>
      </c>
    </row>
    <row r="21" spans="1:8" x14ac:dyDescent="0.25">
      <c r="A21" s="1">
        <v>45311</v>
      </c>
      <c r="B21" s="2" t="s">
        <v>12</v>
      </c>
      <c r="C21" s="2" t="s">
        <v>8</v>
      </c>
      <c r="D21">
        <v>675</v>
      </c>
      <c r="E21">
        <v>757</v>
      </c>
      <c r="F21" s="2" t="s">
        <v>9</v>
      </c>
      <c r="G21">
        <v>2024</v>
      </c>
      <c r="H21">
        <f t="shared" si="0"/>
        <v>-82</v>
      </c>
    </row>
    <row r="22" spans="1:8" x14ac:dyDescent="0.25">
      <c r="A22" s="1">
        <v>45312</v>
      </c>
      <c r="B22" s="2" t="s">
        <v>15</v>
      </c>
      <c r="C22" s="2" t="s">
        <v>11</v>
      </c>
      <c r="D22">
        <v>116</v>
      </c>
      <c r="E22">
        <v>263</v>
      </c>
      <c r="F22" s="2" t="s">
        <v>9</v>
      </c>
      <c r="G22">
        <v>2024</v>
      </c>
      <c r="H22">
        <f t="shared" si="0"/>
        <v>-147</v>
      </c>
    </row>
    <row r="23" spans="1:8" x14ac:dyDescent="0.25">
      <c r="A23" s="1">
        <v>45313</v>
      </c>
      <c r="B23" s="2" t="s">
        <v>10</v>
      </c>
      <c r="C23" s="2" t="s">
        <v>14</v>
      </c>
      <c r="D23">
        <v>206</v>
      </c>
      <c r="E23">
        <v>525</v>
      </c>
      <c r="F23" s="2" t="s">
        <v>9</v>
      </c>
      <c r="G23">
        <v>2024</v>
      </c>
      <c r="H23">
        <f t="shared" si="0"/>
        <v>-319</v>
      </c>
    </row>
    <row r="24" spans="1:8" x14ac:dyDescent="0.25">
      <c r="A24" s="1">
        <v>45314</v>
      </c>
      <c r="B24" s="2" t="s">
        <v>10</v>
      </c>
      <c r="C24" s="2" t="s">
        <v>14</v>
      </c>
      <c r="D24">
        <v>264</v>
      </c>
      <c r="E24">
        <v>670</v>
      </c>
      <c r="F24" s="2" t="s">
        <v>9</v>
      </c>
      <c r="G24">
        <v>2024</v>
      </c>
      <c r="H24">
        <f t="shared" si="0"/>
        <v>-406</v>
      </c>
    </row>
    <row r="25" spans="1:8" x14ac:dyDescent="0.25">
      <c r="A25" s="1">
        <v>45315</v>
      </c>
      <c r="B25" s="2" t="s">
        <v>15</v>
      </c>
      <c r="C25" s="2" t="s">
        <v>13</v>
      </c>
      <c r="D25">
        <v>706</v>
      </c>
      <c r="E25">
        <v>373</v>
      </c>
      <c r="F25" s="2" t="s">
        <v>9</v>
      </c>
      <c r="G25">
        <v>2024</v>
      </c>
      <c r="H25">
        <f t="shared" si="0"/>
        <v>333</v>
      </c>
    </row>
    <row r="26" spans="1:8" x14ac:dyDescent="0.25">
      <c r="A26" s="1">
        <v>45316</v>
      </c>
      <c r="B26" s="2" t="s">
        <v>7</v>
      </c>
      <c r="C26" s="2" t="s">
        <v>8</v>
      </c>
      <c r="D26">
        <v>636</v>
      </c>
      <c r="E26">
        <v>152</v>
      </c>
      <c r="F26" s="2" t="s">
        <v>9</v>
      </c>
      <c r="G26">
        <v>2024</v>
      </c>
      <c r="H26">
        <f t="shared" si="0"/>
        <v>484</v>
      </c>
    </row>
    <row r="27" spans="1:8" x14ac:dyDescent="0.25">
      <c r="A27" s="1">
        <v>45317</v>
      </c>
      <c r="B27" s="2" t="s">
        <v>12</v>
      </c>
      <c r="C27" s="2" t="s">
        <v>13</v>
      </c>
      <c r="D27">
        <v>728</v>
      </c>
      <c r="E27">
        <v>377</v>
      </c>
      <c r="F27" s="2" t="s">
        <v>9</v>
      </c>
      <c r="G27">
        <v>2024</v>
      </c>
      <c r="H27">
        <f t="shared" si="0"/>
        <v>351</v>
      </c>
    </row>
    <row r="28" spans="1:8" x14ac:dyDescent="0.25">
      <c r="A28" s="1">
        <v>45318</v>
      </c>
      <c r="B28" s="2" t="s">
        <v>12</v>
      </c>
      <c r="C28" s="2" t="s">
        <v>14</v>
      </c>
      <c r="D28">
        <v>291</v>
      </c>
      <c r="E28">
        <v>645</v>
      </c>
      <c r="F28" s="2" t="s">
        <v>9</v>
      </c>
      <c r="G28">
        <v>2024</v>
      </c>
      <c r="H28">
        <f t="shared" si="0"/>
        <v>-354</v>
      </c>
    </row>
    <row r="29" spans="1:8" x14ac:dyDescent="0.25">
      <c r="A29" s="1">
        <v>45319</v>
      </c>
      <c r="B29" s="2" t="s">
        <v>12</v>
      </c>
      <c r="C29" s="2" t="s">
        <v>11</v>
      </c>
      <c r="D29">
        <v>295</v>
      </c>
      <c r="E29">
        <v>273</v>
      </c>
      <c r="F29" s="2" t="s">
        <v>9</v>
      </c>
      <c r="G29">
        <v>2024</v>
      </c>
      <c r="H29">
        <f t="shared" si="0"/>
        <v>22</v>
      </c>
    </row>
    <row r="30" spans="1:8" x14ac:dyDescent="0.25">
      <c r="A30" s="1">
        <v>45320</v>
      </c>
      <c r="B30" s="2" t="s">
        <v>12</v>
      </c>
      <c r="C30" s="2" t="s">
        <v>8</v>
      </c>
      <c r="D30">
        <v>407</v>
      </c>
      <c r="E30">
        <v>306</v>
      </c>
      <c r="F30" s="2" t="s">
        <v>9</v>
      </c>
      <c r="G30">
        <v>2024</v>
      </c>
      <c r="H30">
        <f t="shared" si="0"/>
        <v>101</v>
      </c>
    </row>
    <row r="31" spans="1:8" x14ac:dyDescent="0.25">
      <c r="A31" s="1">
        <v>45321</v>
      </c>
      <c r="B31" s="2" t="s">
        <v>7</v>
      </c>
      <c r="C31" s="2" t="s">
        <v>8</v>
      </c>
      <c r="D31">
        <v>236</v>
      </c>
      <c r="E31">
        <v>695</v>
      </c>
      <c r="F31" s="2" t="s">
        <v>9</v>
      </c>
      <c r="G31">
        <v>2024</v>
      </c>
      <c r="H31">
        <f t="shared" si="0"/>
        <v>-459</v>
      </c>
    </row>
    <row r="32" spans="1:8" x14ac:dyDescent="0.25">
      <c r="A32" s="1">
        <v>45322</v>
      </c>
      <c r="B32" s="2" t="s">
        <v>12</v>
      </c>
      <c r="C32" s="2" t="s">
        <v>8</v>
      </c>
      <c r="D32">
        <v>959</v>
      </c>
      <c r="E32">
        <v>397</v>
      </c>
      <c r="F32" s="2" t="s">
        <v>9</v>
      </c>
      <c r="G32">
        <v>2024</v>
      </c>
      <c r="H32">
        <f t="shared" si="0"/>
        <v>562</v>
      </c>
    </row>
    <row r="33" spans="1:8" x14ac:dyDescent="0.25">
      <c r="A33" s="1">
        <v>45323</v>
      </c>
      <c r="B33" s="2" t="s">
        <v>7</v>
      </c>
      <c r="C33" s="2" t="s">
        <v>13</v>
      </c>
      <c r="D33">
        <v>193</v>
      </c>
      <c r="E33">
        <v>157</v>
      </c>
      <c r="F33" s="2" t="s">
        <v>16</v>
      </c>
      <c r="G33">
        <v>2024</v>
      </c>
      <c r="H33">
        <f t="shared" si="0"/>
        <v>36</v>
      </c>
    </row>
    <row r="34" spans="1:8" x14ac:dyDescent="0.25">
      <c r="A34" s="1">
        <v>45324</v>
      </c>
      <c r="B34" s="2" t="s">
        <v>10</v>
      </c>
      <c r="C34" s="2" t="s">
        <v>14</v>
      </c>
      <c r="D34">
        <v>991</v>
      </c>
      <c r="E34">
        <v>569</v>
      </c>
      <c r="F34" s="2" t="s">
        <v>16</v>
      </c>
      <c r="G34">
        <v>2024</v>
      </c>
      <c r="H34">
        <f t="shared" si="0"/>
        <v>422</v>
      </c>
    </row>
    <row r="35" spans="1:8" x14ac:dyDescent="0.25">
      <c r="A35" s="1">
        <v>45325</v>
      </c>
      <c r="B35" s="2" t="s">
        <v>7</v>
      </c>
      <c r="C35" s="2" t="s">
        <v>14</v>
      </c>
      <c r="D35">
        <v>850</v>
      </c>
      <c r="E35">
        <v>199</v>
      </c>
      <c r="F35" s="2" t="s">
        <v>16</v>
      </c>
      <c r="G35">
        <v>2024</v>
      </c>
      <c r="H35">
        <f t="shared" si="0"/>
        <v>651</v>
      </c>
    </row>
    <row r="36" spans="1:8" x14ac:dyDescent="0.25">
      <c r="A36" s="1">
        <v>45326</v>
      </c>
      <c r="B36" s="2" t="s">
        <v>10</v>
      </c>
      <c r="C36" s="2" t="s">
        <v>14</v>
      </c>
      <c r="D36">
        <v>187</v>
      </c>
      <c r="E36">
        <v>526</v>
      </c>
      <c r="F36" s="2" t="s">
        <v>16</v>
      </c>
      <c r="G36">
        <v>2024</v>
      </c>
      <c r="H36">
        <f t="shared" si="0"/>
        <v>-339</v>
      </c>
    </row>
    <row r="37" spans="1:8" x14ac:dyDescent="0.25">
      <c r="A37" s="1">
        <v>45327</v>
      </c>
      <c r="B37" s="2" t="s">
        <v>12</v>
      </c>
      <c r="C37" s="2" t="s">
        <v>8</v>
      </c>
      <c r="D37">
        <v>260</v>
      </c>
      <c r="E37">
        <v>442</v>
      </c>
      <c r="F37" s="2" t="s">
        <v>16</v>
      </c>
      <c r="G37">
        <v>2024</v>
      </c>
      <c r="H37">
        <f t="shared" si="0"/>
        <v>-182</v>
      </c>
    </row>
    <row r="38" spans="1:8" x14ac:dyDescent="0.25">
      <c r="A38" s="1">
        <v>45328</v>
      </c>
      <c r="B38" s="2" t="s">
        <v>15</v>
      </c>
      <c r="C38" s="2" t="s">
        <v>8</v>
      </c>
      <c r="D38">
        <v>247</v>
      </c>
      <c r="E38">
        <v>733</v>
      </c>
      <c r="F38" s="2" t="s">
        <v>16</v>
      </c>
      <c r="G38">
        <v>2024</v>
      </c>
      <c r="H38">
        <f t="shared" si="0"/>
        <v>-486</v>
      </c>
    </row>
    <row r="39" spans="1:8" x14ac:dyDescent="0.25">
      <c r="A39" s="1">
        <v>45329</v>
      </c>
      <c r="B39" s="2" t="s">
        <v>10</v>
      </c>
      <c r="C39" s="2" t="s">
        <v>11</v>
      </c>
      <c r="D39">
        <v>684</v>
      </c>
      <c r="E39">
        <v>608</v>
      </c>
      <c r="F39" s="2" t="s">
        <v>16</v>
      </c>
      <c r="G39">
        <v>2024</v>
      </c>
      <c r="H39">
        <f t="shared" si="0"/>
        <v>76</v>
      </c>
    </row>
    <row r="40" spans="1:8" x14ac:dyDescent="0.25">
      <c r="A40" s="1">
        <v>45330</v>
      </c>
      <c r="B40" s="2" t="s">
        <v>10</v>
      </c>
      <c r="C40" s="2" t="s">
        <v>8</v>
      </c>
      <c r="D40">
        <v>555</v>
      </c>
      <c r="E40">
        <v>50</v>
      </c>
      <c r="F40" s="2" t="s">
        <v>16</v>
      </c>
      <c r="G40">
        <v>2024</v>
      </c>
      <c r="H40">
        <f t="shared" si="0"/>
        <v>505</v>
      </c>
    </row>
    <row r="41" spans="1:8" x14ac:dyDescent="0.25">
      <c r="A41" s="1">
        <v>45331</v>
      </c>
      <c r="B41" s="2" t="s">
        <v>7</v>
      </c>
      <c r="C41" s="2" t="s">
        <v>14</v>
      </c>
      <c r="D41">
        <v>187</v>
      </c>
      <c r="E41">
        <v>410</v>
      </c>
      <c r="F41" s="2" t="s">
        <v>16</v>
      </c>
      <c r="G41">
        <v>2024</v>
      </c>
      <c r="H41">
        <f t="shared" si="0"/>
        <v>-223</v>
      </c>
    </row>
    <row r="42" spans="1:8" x14ac:dyDescent="0.25">
      <c r="A42" s="1">
        <v>45332</v>
      </c>
      <c r="B42" s="2" t="s">
        <v>15</v>
      </c>
      <c r="C42" s="2" t="s">
        <v>14</v>
      </c>
      <c r="D42">
        <v>113</v>
      </c>
      <c r="E42">
        <v>741</v>
      </c>
      <c r="F42" s="2" t="s">
        <v>16</v>
      </c>
      <c r="G42">
        <v>2024</v>
      </c>
      <c r="H42">
        <f t="shared" si="0"/>
        <v>-628</v>
      </c>
    </row>
    <row r="43" spans="1:8" x14ac:dyDescent="0.25">
      <c r="A43" s="1">
        <v>45333</v>
      </c>
      <c r="B43" s="2" t="s">
        <v>10</v>
      </c>
      <c r="C43" s="2" t="s">
        <v>8</v>
      </c>
      <c r="D43">
        <v>414</v>
      </c>
      <c r="E43">
        <v>600</v>
      </c>
      <c r="F43" s="2" t="s">
        <v>16</v>
      </c>
      <c r="G43">
        <v>2024</v>
      </c>
      <c r="H43">
        <f t="shared" si="0"/>
        <v>-186</v>
      </c>
    </row>
    <row r="44" spans="1:8" x14ac:dyDescent="0.25">
      <c r="A44" s="1">
        <v>45334</v>
      </c>
      <c r="B44" s="2" t="s">
        <v>7</v>
      </c>
      <c r="C44" s="2" t="s">
        <v>11</v>
      </c>
      <c r="D44">
        <v>693</v>
      </c>
      <c r="E44">
        <v>139</v>
      </c>
      <c r="F44" s="2" t="s">
        <v>16</v>
      </c>
      <c r="G44">
        <v>2024</v>
      </c>
      <c r="H44">
        <f t="shared" si="0"/>
        <v>554</v>
      </c>
    </row>
    <row r="45" spans="1:8" x14ac:dyDescent="0.25">
      <c r="A45" s="1">
        <v>45335</v>
      </c>
      <c r="B45" s="2" t="s">
        <v>12</v>
      </c>
      <c r="C45" s="2" t="s">
        <v>8</v>
      </c>
      <c r="D45">
        <v>220</v>
      </c>
      <c r="E45">
        <v>124</v>
      </c>
      <c r="F45" s="2" t="s">
        <v>16</v>
      </c>
      <c r="G45">
        <v>2024</v>
      </c>
      <c r="H45">
        <f t="shared" si="0"/>
        <v>96</v>
      </c>
    </row>
    <row r="46" spans="1:8" x14ac:dyDescent="0.25">
      <c r="A46" s="1">
        <v>45336</v>
      </c>
      <c r="B46" s="2" t="s">
        <v>10</v>
      </c>
      <c r="C46" s="2" t="s">
        <v>8</v>
      </c>
      <c r="D46">
        <v>984</v>
      </c>
      <c r="E46">
        <v>549</v>
      </c>
      <c r="F46" s="2" t="s">
        <v>16</v>
      </c>
      <c r="G46">
        <v>2024</v>
      </c>
      <c r="H46">
        <f t="shared" si="0"/>
        <v>435</v>
      </c>
    </row>
    <row r="47" spans="1:8" x14ac:dyDescent="0.25">
      <c r="A47" s="1">
        <v>45337</v>
      </c>
      <c r="B47" s="2" t="s">
        <v>12</v>
      </c>
      <c r="C47" s="2" t="s">
        <v>13</v>
      </c>
      <c r="D47">
        <v>932</v>
      </c>
      <c r="E47">
        <v>788</v>
      </c>
      <c r="F47" s="2" t="s">
        <v>16</v>
      </c>
      <c r="G47">
        <v>2024</v>
      </c>
      <c r="H47">
        <f t="shared" si="0"/>
        <v>144</v>
      </c>
    </row>
    <row r="48" spans="1:8" x14ac:dyDescent="0.25">
      <c r="A48" s="1">
        <v>45338</v>
      </c>
      <c r="B48" s="2" t="s">
        <v>10</v>
      </c>
      <c r="C48" s="2" t="s">
        <v>8</v>
      </c>
      <c r="D48">
        <v>-100</v>
      </c>
      <c r="E48">
        <v>685</v>
      </c>
      <c r="F48" s="2" t="s">
        <v>16</v>
      </c>
      <c r="G48">
        <v>2024</v>
      </c>
      <c r="H48">
        <f t="shared" si="0"/>
        <v>-785</v>
      </c>
    </row>
    <row r="49" spans="1:8" x14ac:dyDescent="0.25">
      <c r="A49" s="1">
        <v>45339</v>
      </c>
      <c r="B49" s="2" t="s">
        <v>10</v>
      </c>
      <c r="C49" s="2" t="s">
        <v>14</v>
      </c>
      <c r="D49">
        <v>832</v>
      </c>
      <c r="E49">
        <v>393</v>
      </c>
      <c r="F49" s="2" t="s">
        <v>16</v>
      </c>
      <c r="G49">
        <v>2024</v>
      </c>
      <c r="H49">
        <f t="shared" si="0"/>
        <v>439</v>
      </c>
    </row>
    <row r="50" spans="1:8" x14ac:dyDescent="0.25">
      <c r="A50" s="1">
        <v>45340</v>
      </c>
      <c r="B50" s="2" t="s">
        <v>15</v>
      </c>
      <c r="C50" s="2" t="s">
        <v>14</v>
      </c>
      <c r="D50">
        <v>381</v>
      </c>
      <c r="E50">
        <v>146</v>
      </c>
      <c r="F50" s="2" t="s">
        <v>16</v>
      </c>
      <c r="G50">
        <v>2024</v>
      </c>
      <c r="H50">
        <f t="shared" si="0"/>
        <v>235</v>
      </c>
    </row>
    <row r="51" spans="1:8" x14ac:dyDescent="0.25">
      <c r="A51" s="1">
        <v>45341</v>
      </c>
      <c r="B51" s="2" t="s">
        <v>10</v>
      </c>
      <c r="C51" s="2" t="s">
        <v>14</v>
      </c>
      <c r="D51">
        <v>900</v>
      </c>
      <c r="E51">
        <v>332</v>
      </c>
      <c r="F51" s="2" t="s">
        <v>16</v>
      </c>
      <c r="G51">
        <v>2024</v>
      </c>
      <c r="H51">
        <f t="shared" si="0"/>
        <v>568</v>
      </c>
    </row>
    <row r="52" spans="1:8" x14ac:dyDescent="0.25">
      <c r="A52" s="1">
        <v>45342</v>
      </c>
      <c r="B52" s="2" t="s">
        <v>7</v>
      </c>
      <c r="C52" s="2" t="s">
        <v>13</v>
      </c>
      <c r="D52">
        <v>526</v>
      </c>
      <c r="E52">
        <v>768</v>
      </c>
      <c r="F52" s="2" t="s">
        <v>16</v>
      </c>
      <c r="G52">
        <v>2024</v>
      </c>
      <c r="H52">
        <f t="shared" si="0"/>
        <v>-242</v>
      </c>
    </row>
    <row r="53" spans="1:8" x14ac:dyDescent="0.25">
      <c r="A53" s="1">
        <v>45343</v>
      </c>
      <c r="B53" s="2" t="s">
        <v>12</v>
      </c>
      <c r="C53" s="2" t="s">
        <v>13</v>
      </c>
      <c r="D53">
        <v>882</v>
      </c>
      <c r="E53">
        <v>82</v>
      </c>
      <c r="F53" s="2" t="s">
        <v>16</v>
      </c>
      <c r="G53">
        <v>2024</v>
      </c>
      <c r="H53">
        <f t="shared" si="0"/>
        <v>800</v>
      </c>
    </row>
    <row r="54" spans="1:8" x14ac:dyDescent="0.25">
      <c r="A54" s="1">
        <v>45344</v>
      </c>
      <c r="B54" s="2" t="s">
        <v>12</v>
      </c>
      <c r="C54" s="2" t="s">
        <v>8</v>
      </c>
      <c r="D54">
        <v>570</v>
      </c>
      <c r="E54">
        <v>165</v>
      </c>
      <c r="F54" s="2" t="s">
        <v>16</v>
      </c>
      <c r="G54">
        <v>2024</v>
      </c>
      <c r="H54">
        <f t="shared" si="0"/>
        <v>405</v>
      </c>
    </row>
    <row r="55" spans="1:8" x14ac:dyDescent="0.25">
      <c r="A55" s="1">
        <v>45345</v>
      </c>
      <c r="B55" s="2" t="s">
        <v>12</v>
      </c>
      <c r="C55" s="2" t="s">
        <v>11</v>
      </c>
      <c r="D55">
        <v>384</v>
      </c>
      <c r="E55">
        <v>504</v>
      </c>
      <c r="F55" s="2" t="s">
        <v>16</v>
      </c>
      <c r="G55">
        <v>2024</v>
      </c>
      <c r="H55">
        <f t="shared" si="0"/>
        <v>-120</v>
      </c>
    </row>
    <row r="56" spans="1:8" x14ac:dyDescent="0.25">
      <c r="A56" s="1">
        <v>45346</v>
      </c>
      <c r="B56" s="2" t="s">
        <v>10</v>
      </c>
      <c r="C56" s="2" t="s">
        <v>8</v>
      </c>
      <c r="D56">
        <v>376</v>
      </c>
      <c r="E56">
        <v>478</v>
      </c>
      <c r="F56" s="2" t="s">
        <v>16</v>
      </c>
      <c r="G56">
        <v>2024</v>
      </c>
      <c r="H56">
        <f t="shared" si="0"/>
        <v>-102</v>
      </c>
    </row>
    <row r="57" spans="1:8" x14ac:dyDescent="0.25">
      <c r="A57" s="1">
        <v>45347</v>
      </c>
      <c r="B57" s="2" t="s">
        <v>7</v>
      </c>
      <c r="C57" s="2" t="s">
        <v>13</v>
      </c>
      <c r="D57">
        <v>424</v>
      </c>
      <c r="E57">
        <v>740</v>
      </c>
      <c r="F57" s="2" t="s">
        <v>16</v>
      </c>
      <c r="G57">
        <v>2024</v>
      </c>
      <c r="H57">
        <f t="shared" si="0"/>
        <v>-316</v>
      </c>
    </row>
    <row r="58" spans="1:8" x14ac:dyDescent="0.25">
      <c r="A58" s="1">
        <v>45348</v>
      </c>
      <c r="B58" s="2" t="s">
        <v>10</v>
      </c>
      <c r="C58" s="2" t="s">
        <v>8</v>
      </c>
      <c r="D58">
        <v>634</v>
      </c>
      <c r="E58">
        <v>223</v>
      </c>
      <c r="F58" s="2" t="s">
        <v>16</v>
      </c>
      <c r="G58">
        <v>2024</v>
      </c>
      <c r="H58">
        <f t="shared" si="0"/>
        <v>411</v>
      </c>
    </row>
    <row r="59" spans="1:8" x14ac:dyDescent="0.25">
      <c r="A59" s="1">
        <v>45349</v>
      </c>
      <c r="B59" s="2" t="s">
        <v>15</v>
      </c>
      <c r="C59" s="2" t="s">
        <v>13</v>
      </c>
      <c r="D59">
        <v>327</v>
      </c>
      <c r="E59">
        <v>795</v>
      </c>
      <c r="F59" s="2" t="s">
        <v>16</v>
      </c>
      <c r="G59">
        <v>2024</v>
      </c>
      <c r="H59">
        <f t="shared" si="0"/>
        <v>-468</v>
      </c>
    </row>
    <row r="60" spans="1:8" x14ac:dyDescent="0.25">
      <c r="A60" s="1">
        <v>45350</v>
      </c>
      <c r="B60" s="2" t="s">
        <v>7</v>
      </c>
      <c r="C60" s="2" t="s">
        <v>14</v>
      </c>
      <c r="D60">
        <v>0</v>
      </c>
      <c r="E60">
        <v>182</v>
      </c>
      <c r="F60" s="2" t="s">
        <v>16</v>
      </c>
      <c r="G60">
        <v>2024</v>
      </c>
      <c r="H60">
        <f t="shared" si="0"/>
        <v>-182</v>
      </c>
    </row>
    <row r="61" spans="1:8" x14ac:dyDescent="0.25">
      <c r="A61" s="1">
        <v>45351</v>
      </c>
      <c r="B61" s="2" t="s">
        <v>10</v>
      </c>
      <c r="C61" s="2" t="s">
        <v>14</v>
      </c>
      <c r="D61">
        <v>695</v>
      </c>
      <c r="E61">
        <v>491</v>
      </c>
      <c r="F61" s="2" t="s">
        <v>16</v>
      </c>
      <c r="G61">
        <v>2024</v>
      </c>
      <c r="H61">
        <f t="shared" si="0"/>
        <v>204</v>
      </c>
    </row>
    <row r="62" spans="1:8" x14ac:dyDescent="0.25">
      <c r="A62" s="1">
        <v>45352</v>
      </c>
      <c r="B62" s="2" t="s">
        <v>10</v>
      </c>
      <c r="C62" s="2" t="s">
        <v>13</v>
      </c>
      <c r="D62">
        <v>747</v>
      </c>
      <c r="E62">
        <v>143</v>
      </c>
      <c r="F62" s="2" t="s">
        <v>17</v>
      </c>
      <c r="G62">
        <v>2024</v>
      </c>
      <c r="H62">
        <f t="shared" si="0"/>
        <v>604</v>
      </c>
    </row>
    <row r="63" spans="1:8" x14ac:dyDescent="0.25">
      <c r="A63" s="1">
        <v>45353</v>
      </c>
      <c r="B63" s="2" t="s">
        <v>15</v>
      </c>
      <c r="C63" s="2" t="s">
        <v>8</v>
      </c>
      <c r="D63">
        <v>673</v>
      </c>
      <c r="E63">
        <v>397</v>
      </c>
      <c r="F63" s="2" t="s">
        <v>17</v>
      </c>
      <c r="G63">
        <v>2024</v>
      </c>
      <c r="H63">
        <f t="shared" si="0"/>
        <v>276</v>
      </c>
    </row>
    <row r="64" spans="1:8" x14ac:dyDescent="0.25">
      <c r="A64" s="1">
        <v>45354</v>
      </c>
      <c r="B64" s="2" t="s">
        <v>10</v>
      </c>
      <c r="C64" s="2" t="s">
        <v>11</v>
      </c>
      <c r="D64">
        <v>753</v>
      </c>
      <c r="E64">
        <v>451</v>
      </c>
      <c r="F64" s="2" t="s">
        <v>17</v>
      </c>
      <c r="G64">
        <v>2024</v>
      </c>
      <c r="H64">
        <f t="shared" si="0"/>
        <v>302</v>
      </c>
    </row>
    <row r="65" spans="1:8" x14ac:dyDescent="0.25">
      <c r="A65" s="1">
        <v>45355</v>
      </c>
      <c r="B65" s="2" t="s">
        <v>15</v>
      </c>
      <c r="C65" s="2" t="s">
        <v>14</v>
      </c>
      <c r="D65">
        <v>617</v>
      </c>
      <c r="E65">
        <v>469</v>
      </c>
      <c r="F65" s="2" t="s">
        <v>17</v>
      </c>
      <c r="G65">
        <v>2024</v>
      </c>
      <c r="H65">
        <f t="shared" si="0"/>
        <v>148</v>
      </c>
    </row>
    <row r="66" spans="1:8" x14ac:dyDescent="0.25">
      <c r="A66" s="1">
        <v>45356</v>
      </c>
      <c r="B66" s="2" t="s">
        <v>10</v>
      </c>
      <c r="C66" s="2" t="s">
        <v>11</v>
      </c>
      <c r="D66">
        <v>356</v>
      </c>
      <c r="E66">
        <v>756</v>
      </c>
      <c r="F66" s="2" t="s">
        <v>17</v>
      </c>
      <c r="G66">
        <v>2024</v>
      </c>
      <c r="H66">
        <f t="shared" ref="H66:H129" si="1">D66-E66</f>
        <v>-400</v>
      </c>
    </row>
    <row r="67" spans="1:8" x14ac:dyDescent="0.25">
      <c r="A67" s="1">
        <v>45357</v>
      </c>
      <c r="B67" s="2" t="s">
        <v>7</v>
      </c>
      <c r="C67" s="2" t="s">
        <v>13</v>
      </c>
      <c r="D67">
        <v>236</v>
      </c>
      <c r="E67">
        <v>454</v>
      </c>
      <c r="F67" s="2" t="s">
        <v>17</v>
      </c>
      <c r="G67">
        <v>2024</v>
      </c>
      <c r="H67">
        <f t="shared" si="1"/>
        <v>-218</v>
      </c>
    </row>
    <row r="68" spans="1:8" x14ac:dyDescent="0.25">
      <c r="A68" s="1">
        <v>45358</v>
      </c>
      <c r="B68" s="2" t="s">
        <v>15</v>
      </c>
      <c r="C68" s="2" t="s">
        <v>13</v>
      </c>
      <c r="D68">
        <v>307</v>
      </c>
      <c r="E68">
        <v>235</v>
      </c>
      <c r="F68" s="2" t="s">
        <v>17</v>
      </c>
      <c r="G68">
        <v>2024</v>
      </c>
      <c r="H68">
        <f t="shared" si="1"/>
        <v>72</v>
      </c>
    </row>
    <row r="69" spans="1:8" x14ac:dyDescent="0.25">
      <c r="A69" s="1">
        <v>45359</v>
      </c>
      <c r="B69" s="2" t="s">
        <v>7</v>
      </c>
      <c r="C69" s="2" t="s">
        <v>11</v>
      </c>
      <c r="D69">
        <v>563</v>
      </c>
      <c r="E69">
        <v>425</v>
      </c>
      <c r="F69" s="2" t="s">
        <v>17</v>
      </c>
      <c r="G69">
        <v>2024</v>
      </c>
      <c r="H69">
        <f t="shared" si="1"/>
        <v>138</v>
      </c>
    </row>
    <row r="70" spans="1:8" x14ac:dyDescent="0.25">
      <c r="A70" s="1">
        <v>45360</v>
      </c>
      <c r="B70" s="2" t="s">
        <v>7</v>
      </c>
      <c r="C70" s="2" t="s">
        <v>13</v>
      </c>
      <c r="D70">
        <v>239</v>
      </c>
      <c r="E70">
        <v>726</v>
      </c>
      <c r="F70" s="2" t="s">
        <v>17</v>
      </c>
      <c r="G70">
        <v>2024</v>
      </c>
      <c r="H70">
        <f t="shared" si="1"/>
        <v>-487</v>
      </c>
    </row>
    <row r="71" spans="1:8" x14ac:dyDescent="0.25">
      <c r="A71" s="1">
        <v>45361</v>
      </c>
      <c r="B71" s="2" t="s">
        <v>7</v>
      </c>
      <c r="C71" s="2" t="s">
        <v>8</v>
      </c>
      <c r="D71">
        <v>104</v>
      </c>
      <c r="E71">
        <v>752</v>
      </c>
      <c r="F71" s="2" t="s">
        <v>17</v>
      </c>
      <c r="G71">
        <v>2024</v>
      </c>
      <c r="H71">
        <f t="shared" si="1"/>
        <v>-648</v>
      </c>
    </row>
    <row r="72" spans="1:8" x14ac:dyDescent="0.25">
      <c r="A72" s="1">
        <v>45362</v>
      </c>
      <c r="B72" s="2" t="s">
        <v>12</v>
      </c>
      <c r="C72" s="2" t="s">
        <v>8</v>
      </c>
      <c r="D72">
        <v>523</v>
      </c>
      <c r="E72">
        <v>566</v>
      </c>
      <c r="F72" s="2" t="s">
        <v>17</v>
      </c>
      <c r="G72">
        <v>2024</v>
      </c>
      <c r="H72">
        <f t="shared" si="1"/>
        <v>-43</v>
      </c>
    </row>
    <row r="73" spans="1:8" x14ac:dyDescent="0.25">
      <c r="A73" s="1">
        <v>45363</v>
      </c>
      <c r="B73" s="2" t="s">
        <v>12</v>
      </c>
      <c r="C73" s="2" t="s">
        <v>8</v>
      </c>
      <c r="D73">
        <v>448</v>
      </c>
      <c r="E73">
        <v>547</v>
      </c>
      <c r="F73" s="2" t="s">
        <v>17</v>
      </c>
      <c r="G73">
        <v>2024</v>
      </c>
      <c r="H73">
        <f t="shared" si="1"/>
        <v>-99</v>
      </c>
    </row>
    <row r="74" spans="1:8" x14ac:dyDescent="0.25">
      <c r="A74" s="1">
        <v>45364</v>
      </c>
      <c r="B74" s="2" t="s">
        <v>15</v>
      </c>
      <c r="C74" s="2" t="s">
        <v>13</v>
      </c>
      <c r="D74">
        <v>382</v>
      </c>
      <c r="E74">
        <v>548</v>
      </c>
      <c r="F74" s="2" t="s">
        <v>17</v>
      </c>
      <c r="G74">
        <v>2024</v>
      </c>
      <c r="H74">
        <f t="shared" si="1"/>
        <v>-166</v>
      </c>
    </row>
    <row r="75" spans="1:8" x14ac:dyDescent="0.25">
      <c r="A75" s="1">
        <v>45365</v>
      </c>
      <c r="B75" s="2" t="s">
        <v>7</v>
      </c>
      <c r="C75" s="2" t="s">
        <v>11</v>
      </c>
      <c r="D75">
        <v>686</v>
      </c>
      <c r="E75">
        <v>255</v>
      </c>
      <c r="F75" s="2" t="s">
        <v>17</v>
      </c>
      <c r="G75">
        <v>2024</v>
      </c>
      <c r="H75">
        <f t="shared" si="1"/>
        <v>431</v>
      </c>
    </row>
    <row r="76" spans="1:8" x14ac:dyDescent="0.25">
      <c r="A76" s="1">
        <v>45366</v>
      </c>
      <c r="B76" s="2" t="s">
        <v>7</v>
      </c>
      <c r="C76" s="2" t="s">
        <v>14</v>
      </c>
      <c r="D76">
        <v>920</v>
      </c>
      <c r="E76">
        <v>464</v>
      </c>
      <c r="F76" s="2" t="s">
        <v>17</v>
      </c>
      <c r="G76">
        <v>2024</v>
      </c>
      <c r="H76">
        <f t="shared" si="1"/>
        <v>456</v>
      </c>
    </row>
    <row r="77" spans="1:8" x14ac:dyDescent="0.25">
      <c r="A77" s="1">
        <v>45367</v>
      </c>
      <c r="B77" s="2" t="s">
        <v>12</v>
      </c>
      <c r="C77" s="2" t="s">
        <v>14</v>
      </c>
      <c r="D77">
        <v>533</v>
      </c>
      <c r="E77">
        <v>415</v>
      </c>
      <c r="F77" s="2" t="s">
        <v>17</v>
      </c>
      <c r="G77">
        <v>2024</v>
      </c>
      <c r="H77">
        <f t="shared" si="1"/>
        <v>118</v>
      </c>
    </row>
    <row r="78" spans="1:8" x14ac:dyDescent="0.25">
      <c r="A78" s="1">
        <v>45368</v>
      </c>
      <c r="B78" s="2" t="s">
        <v>10</v>
      </c>
      <c r="C78" s="2" t="s">
        <v>8</v>
      </c>
      <c r="D78">
        <v>319</v>
      </c>
      <c r="E78">
        <v>788</v>
      </c>
      <c r="F78" s="2" t="s">
        <v>17</v>
      </c>
      <c r="G78">
        <v>2024</v>
      </c>
      <c r="H78">
        <f t="shared" si="1"/>
        <v>-469</v>
      </c>
    </row>
    <row r="79" spans="1:8" x14ac:dyDescent="0.25">
      <c r="A79" s="1">
        <v>45369</v>
      </c>
      <c r="B79" s="2" t="s">
        <v>7</v>
      </c>
      <c r="C79" s="2" t="s">
        <v>14</v>
      </c>
      <c r="D79">
        <v>919</v>
      </c>
      <c r="E79">
        <v>469</v>
      </c>
      <c r="F79" s="2" t="s">
        <v>17</v>
      </c>
      <c r="G79">
        <v>2024</v>
      </c>
      <c r="H79">
        <f t="shared" si="1"/>
        <v>450</v>
      </c>
    </row>
    <row r="80" spans="1:8" x14ac:dyDescent="0.25">
      <c r="A80" s="1">
        <v>45370</v>
      </c>
      <c r="B80" s="2" t="s">
        <v>12</v>
      </c>
      <c r="C80" s="2" t="s">
        <v>13</v>
      </c>
      <c r="D80">
        <v>839</v>
      </c>
      <c r="E80">
        <v>635</v>
      </c>
      <c r="F80" s="2" t="s">
        <v>17</v>
      </c>
      <c r="G80">
        <v>2024</v>
      </c>
      <c r="H80">
        <f t="shared" si="1"/>
        <v>204</v>
      </c>
    </row>
    <row r="81" spans="1:8" x14ac:dyDescent="0.25">
      <c r="A81" s="1">
        <v>45371</v>
      </c>
      <c r="B81" s="2" t="s">
        <v>15</v>
      </c>
      <c r="C81" s="2" t="s">
        <v>11</v>
      </c>
      <c r="D81">
        <v>973</v>
      </c>
      <c r="E81">
        <v>268</v>
      </c>
      <c r="F81" s="2" t="s">
        <v>17</v>
      </c>
      <c r="G81">
        <v>2024</v>
      </c>
      <c r="H81">
        <f t="shared" si="1"/>
        <v>705</v>
      </c>
    </row>
    <row r="82" spans="1:8" x14ac:dyDescent="0.25">
      <c r="A82" s="1">
        <v>45372</v>
      </c>
      <c r="B82" s="2" t="s">
        <v>15</v>
      </c>
      <c r="C82" s="2" t="s">
        <v>13</v>
      </c>
      <c r="D82">
        <v>886</v>
      </c>
      <c r="E82">
        <v>588</v>
      </c>
      <c r="F82" s="2" t="s">
        <v>17</v>
      </c>
      <c r="G82">
        <v>2024</v>
      </c>
      <c r="H82">
        <f t="shared" si="1"/>
        <v>298</v>
      </c>
    </row>
    <row r="83" spans="1:8" x14ac:dyDescent="0.25">
      <c r="A83" s="1">
        <v>45373</v>
      </c>
      <c r="B83" s="2" t="s">
        <v>10</v>
      </c>
      <c r="C83" s="2" t="s">
        <v>13</v>
      </c>
      <c r="D83">
        <v>-100</v>
      </c>
      <c r="E83">
        <v>424</v>
      </c>
      <c r="F83" s="2" t="s">
        <v>17</v>
      </c>
      <c r="G83">
        <v>2024</v>
      </c>
      <c r="H83">
        <f t="shared" si="1"/>
        <v>-524</v>
      </c>
    </row>
    <row r="84" spans="1:8" x14ac:dyDescent="0.25">
      <c r="A84" s="1">
        <v>45374</v>
      </c>
      <c r="B84" s="2" t="s">
        <v>7</v>
      </c>
      <c r="C84" s="2" t="s">
        <v>11</v>
      </c>
      <c r="D84">
        <v>390</v>
      </c>
      <c r="E84">
        <v>72</v>
      </c>
      <c r="F84" s="2" t="s">
        <v>17</v>
      </c>
      <c r="G84">
        <v>2024</v>
      </c>
      <c r="H84">
        <f t="shared" si="1"/>
        <v>318</v>
      </c>
    </row>
    <row r="85" spans="1:8" x14ac:dyDescent="0.25">
      <c r="A85" s="1">
        <v>45375</v>
      </c>
      <c r="B85" s="2" t="s">
        <v>12</v>
      </c>
      <c r="C85" s="2" t="s">
        <v>14</v>
      </c>
      <c r="D85">
        <v>663</v>
      </c>
      <c r="E85">
        <v>510</v>
      </c>
      <c r="F85" s="2" t="s">
        <v>17</v>
      </c>
      <c r="G85">
        <v>2024</v>
      </c>
      <c r="H85">
        <f t="shared" si="1"/>
        <v>153</v>
      </c>
    </row>
    <row r="86" spans="1:8" x14ac:dyDescent="0.25">
      <c r="A86" s="1">
        <v>45376</v>
      </c>
      <c r="B86" s="2" t="s">
        <v>12</v>
      </c>
      <c r="C86" s="2" t="s">
        <v>11</v>
      </c>
      <c r="D86">
        <v>770</v>
      </c>
      <c r="E86">
        <v>769</v>
      </c>
      <c r="F86" s="2" t="s">
        <v>17</v>
      </c>
      <c r="G86">
        <v>2024</v>
      </c>
      <c r="H86">
        <f t="shared" si="1"/>
        <v>1</v>
      </c>
    </row>
    <row r="87" spans="1:8" x14ac:dyDescent="0.25">
      <c r="A87" s="1">
        <v>45377</v>
      </c>
      <c r="B87" s="2" t="s">
        <v>10</v>
      </c>
      <c r="C87" s="2" t="s">
        <v>13</v>
      </c>
      <c r="D87">
        <v>537</v>
      </c>
      <c r="E87">
        <v>404</v>
      </c>
      <c r="F87" s="2" t="s">
        <v>17</v>
      </c>
      <c r="G87">
        <v>2024</v>
      </c>
      <c r="H87">
        <f t="shared" si="1"/>
        <v>133</v>
      </c>
    </row>
    <row r="88" spans="1:8" x14ac:dyDescent="0.25">
      <c r="A88" s="1">
        <v>45378</v>
      </c>
      <c r="B88" s="2" t="s">
        <v>12</v>
      </c>
      <c r="C88" s="2" t="s">
        <v>11</v>
      </c>
      <c r="D88">
        <v>926</v>
      </c>
      <c r="E88">
        <v>652</v>
      </c>
      <c r="F88" s="2" t="s">
        <v>17</v>
      </c>
      <c r="G88">
        <v>2024</v>
      </c>
      <c r="H88">
        <f t="shared" si="1"/>
        <v>274</v>
      </c>
    </row>
    <row r="89" spans="1:8" x14ac:dyDescent="0.25">
      <c r="A89" s="1">
        <v>45379</v>
      </c>
      <c r="B89" s="2" t="s">
        <v>12</v>
      </c>
      <c r="C89" s="2" t="s">
        <v>11</v>
      </c>
      <c r="D89">
        <v>923</v>
      </c>
      <c r="E89">
        <v>101</v>
      </c>
      <c r="F89" s="2" t="s">
        <v>17</v>
      </c>
      <c r="G89">
        <v>2024</v>
      </c>
      <c r="H89">
        <f t="shared" si="1"/>
        <v>822</v>
      </c>
    </row>
    <row r="90" spans="1:8" x14ac:dyDescent="0.25">
      <c r="A90" s="1">
        <v>45380</v>
      </c>
      <c r="B90" s="2" t="s">
        <v>10</v>
      </c>
      <c r="C90" s="2" t="s">
        <v>8</v>
      </c>
      <c r="D90">
        <v>608</v>
      </c>
      <c r="E90">
        <v>770</v>
      </c>
      <c r="F90" s="2" t="s">
        <v>17</v>
      </c>
      <c r="G90">
        <v>2024</v>
      </c>
      <c r="H90">
        <f t="shared" si="1"/>
        <v>-162</v>
      </c>
    </row>
    <row r="91" spans="1:8" x14ac:dyDescent="0.25">
      <c r="A91" s="1">
        <v>45381</v>
      </c>
      <c r="B91" s="2" t="s">
        <v>15</v>
      </c>
      <c r="C91" s="2" t="s">
        <v>8</v>
      </c>
      <c r="D91">
        <v>886</v>
      </c>
      <c r="E91">
        <v>623</v>
      </c>
      <c r="F91" s="2" t="s">
        <v>17</v>
      </c>
      <c r="G91">
        <v>2024</v>
      </c>
      <c r="H91">
        <f t="shared" si="1"/>
        <v>263</v>
      </c>
    </row>
    <row r="92" spans="1:8" x14ac:dyDescent="0.25">
      <c r="A92" s="1">
        <v>45382</v>
      </c>
      <c r="B92" s="2" t="s">
        <v>10</v>
      </c>
      <c r="C92" s="2" t="s">
        <v>13</v>
      </c>
      <c r="D92">
        <v>955</v>
      </c>
      <c r="E92">
        <v>494</v>
      </c>
      <c r="F92" s="2" t="s">
        <v>17</v>
      </c>
      <c r="G92">
        <v>2024</v>
      </c>
      <c r="H92">
        <f t="shared" si="1"/>
        <v>461</v>
      </c>
    </row>
    <row r="93" spans="1:8" x14ac:dyDescent="0.25">
      <c r="A93" s="1">
        <v>45383</v>
      </c>
      <c r="B93" s="2" t="s">
        <v>10</v>
      </c>
      <c r="C93" s="2" t="s">
        <v>13</v>
      </c>
      <c r="D93">
        <v>549</v>
      </c>
      <c r="E93">
        <v>154</v>
      </c>
      <c r="F93" s="2" t="s">
        <v>18</v>
      </c>
      <c r="G93">
        <v>2024</v>
      </c>
      <c r="H93">
        <f t="shared" si="1"/>
        <v>395</v>
      </c>
    </row>
    <row r="94" spans="1:8" x14ac:dyDescent="0.25">
      <c r="A94" s="1">
        <v>45384</v>
      </c>
      <c r="B94" s="2" t="s">
        <v>15</v>
      </c>
      <c r="C94" s="2" t="s">
        <v>14</v>
      </c>
      <c r="D94">
        <v>426</v>
      </c>
      <c r="E94">
        <v>690</v>
      </c>
      <c r="F94" s="2" t="s">
        <v>18</v>
      </c>
      <c r="G94">
        <v>2024</v>
      </c>
      <c r="H94">
        <f t="shared" si="1"/>
        <v>-264</v>
      </c>
    </row>
    <row r="95" spans="1:8" x14ac:dyDescent="0.25">
      <c r="A95" s="1">
        <v>45385</v>
      </c>
      <c r="B95" s="2" t="s">
        <v>15</v>
      </c>
      <c r="C95" s="2" t="s">
        <v>13</v>
      </c>
      <c r="D95">
        <v>590</v>
      </c>
      <c r="E95">
        <v>444</v>
      </c>
      <c r="F95" s="2" t="s">
        <v>18</v>
      </c>
      <c r="G95">
        <v>2024</v>
      </c>
      <c r="H95">
        <f t="shared" si="1"/>
        <v>146</v>
      </c>
    </row>
    <row r="96" spans="1:8" x14ac:dyDescent="0.25">
      <c r="A96" s="1">
        <v>45386</v>
      </c>
      <c r="B96" s="2" t="s">
        <v>10</v>
      </c>
      <c r="C96" s="2" t="s">
        <v>14</v>
      </c>
      <c r="D96">
        <v>153</v>
      </c>
      <c r="E96">
        <v>377</v>
      </c>
      <c r="F96" s="2" t="s">
        <v>18</v>
      </c>
      <c r="G96">
        <v>2024</v>
      </c>
      <c r="H96">
        <f t="shared" si="1"/>
        <v>-224</v>
      </c>
    </row>
    <row r="97" spans="1:8" x14ac:dyDescent="0.25">
      <c r="A97" s="1">
        <v>45387</v>
      </c>
      <c r="B97" s="2" t="s">
        <v>7</v>
      </c>
      <c r="C97" s="2" t="s">
        <v>14</v>
      </c>
      <c r="D97">
        <v>916</v>
      </c>
      <c r="E97">
        <v>656</v>
      </c>
      <c r="F97" s="2" t="s">
        <v>18</v>
      </c>
      <c r="G97">
        <v>2024</v>
      </c>
      <c r="H97">
        <f t="shared" si="1"/>
        <v>260</v>
      </c>
    </row>
    <row r="98" spans="1:8" x14ac:dyDescent="0.25">
      <c r="A98" s="1">
        <v>45388</v>
      </c>
      <c r="B98" s="2" t="s">
        <v>15</v>
      </c>
      <c r="C98" s="2" t="s">
        <v>11</v>
      </c>
      <c r="D98">
        <v>194</v>
      </c>
      <c r="E98">
        <v>568</v>
      </c>
      <c r="F98" s="2" t="s">
        <v>18</v>
      </c>
      <c r="G98">
        <v>2024</v>
      </c>
      <c r="H98">
        <f t="shared" si="1"/>
        <v>-374</v>
      </c>
    </row>
    <row r="99" spans="1:8" x14ac:dyDescent="0.25">
      <c r="A99" s="1">
        <v>45389</v>
      </c>
      <c r="B99" s="2" t="s">
        <v>10</v>
      </c>
      <c r="C99" s="2" t="s">
        <v>11</v>
      </c>
      <c r="D99">
        <v>0</v>
      </c>
      <c r="E99">
        <v>735</v>
      </c>
      <c r="F99" s="2" t="s">
        <v>18</v>
      </c>
      <c r="G99">
        <v>2024</v>
      </c>
      <c r="H99">
        <f t="shared" si="1"/>
        <v>-735</v>
      </c>
    </row>
    <row r="100" spans="1:8" x14ac:dyDescent="0.25">
      <c r="A100" s="1">
        <v>45390</v>
      </c>
      <c r="B100" s="2" t="s">
        <v>12</v>
      </c>
      <c r="C100" s="2" t="s">
        <v>13</v>
      </c>
      <c r="D100">
        <v>436</v>
      </c>
      <c r="E100">
        <v>295</v>
      </c>
      <c r="F100" s="2" t="s">
        <v>18</v>
      </c>
      <c r="G100">
        <v>2024</v>
      </c>
      <c r="H100">
        <f t="shared" si="1"/>
        <v>141</v>
      </c>
    </row>
    <row r="101" spans="1:8" x14ac:dyDescent="0.25">
      <c r="A101" s="1">
        <v>45391</v>
      </c>
      <c r="B101" s="2" t="s">
        <v>7</v>
      </c>
      <c r="C101" s="2" t="s">
        <v>8</v>
      </c>
      <c r="D101">
        <v>766</v>
      </c>
      <c r="E101">
        <v>464</v>
      </c>
      <c r="F101" s="2" t="s">
        <v>18</v>
      </c>
      <c r="G101">
        <v>2024</v>
      </c>
      <c r="H101">
        <f t="shared" si="1"/>
        <v>302</v>
      </c>
    </row>
    <row r="102" spans="1:8" x14ac:dyDescent="0.25">
      <c r="A102" s="1">
        <v>45392</v>
      </c>
      <c r="B102" s="2" t="s">
        <v>12</v>
      </c>
      <c r="C102" s="2" t="s">
        <v>8</v>
      </c>
      <c r="D102">
        <v>736</v>
      </c>
      <c r="E102">
        <v>577</v>
      </c>
      <c r="F102" s="2" t="s">
        <v>18</v>
      </c>
      <c r="G102">
        <v>2024</v>
      </c>
      <c r="H102">
        <f t="shared" si="1"/>
        <v>159</v>
      </c>
    </row>
    <row r="103" spans="1:8" x14ac:dyDescent="0.25">
      <c r="A103" s="1">
        <v>45393</v>
      </c>
      <c r="B103" s="2" t="s">
        <v>15</v>
      </c>
      <c r="C103" s="2" t="s">
        <v>14</v>
      </c>
      <c r="D103">
        <v>263</v>
      </c>
      <c r="E103">
        <v>219</v>
      </c>
      <c r="F103" s="2" t="s">
        <v>18</v>
      </c>
      <c r="G103">
        <v>2024</v>
      </c>
      <c r="H103">
        <f t="shared" si="1"/>
        <v>44</v>
      </c>
    </row>
    <row r="104" spans="1:8" x14ac:dyDescent="0.25">
      <c r="A104" s="1">
        <v>45394</v>
      </c>
      <c r="B104" s="2" t="s">
        <v>7</v>
      </c>
      <c r="C104" s="2" t="s">
        <v>13</v>
      </c>
      <c r="D104">
        <v>670</v>
      </c>
      <c r="E104">
        <v>216</v>
      </c>
      <c r="F104" s="2" t="s">
        <v>18</v>
      </c>
      <c r="G104">
        <v>2024</v>
      </c>
      <c r="H104">
        <f t="shared" si="1"/>
        <v>454</v>
      </c>
    </row>
    <row r="105" spans="1:8" x14ac:dyDescent="0.25">
      <c r="A105" s="1">
        <v>45395</v>
      </c>
      <c r="B105" s="2" t="s">
        <v>10</v>
      </c>
      <c r="C105" s="2" t="s">
        <v>14</v>
      </c>
      <c r="D105">
        <v>206</v>
      </c>
      <c r="E105">
        <v>359</v>
      </c>
      <c r="F105" s="2" t="s">
        <v>18</v>
      </c>
      <c r="G105">
        <v>2024</v>
      </c>
      <c r="H105">
        <f t="shared" si="1"/>
        <v>-153</v>
      </c>
    </row>
    <row r="106" spans="1:8" x14ac:dyDescent="0.25">
      <c r="A106" s="1">
        <v>45396</v>
      </c>
      <c r="B106" s="2" t="s">
        <v>7</v>
      </c>
      <c r="C106" s="2" t="s">
        <v>11</v>
      </c>
      <c r="D106">
        <v>301</v>
      </c>
      <c r="E106">
        <v>644</v>
      </c>
      <c r="F106" s="2" t="s">
        <v>18</v>
      </c>
      <c r="G106">
        <v>2024</v>
      </c>
      <c r="H106">
        <f t="shared" si="1"/>
        <v>-343</v>
      </c>
    </row>
    <row r="107" spans="1:8" x14ac:dyDescent="0.25">
      <c r="A107" s="1">
        <v>45397</v>
      </c>
      <c r="B107" s="2" t="s">
        <v>15</v>
      </c>
      <c r="C107" s="2" t="s">
        <v>13</v>
      </c>
      <c r="D107">
        <v>400</v>
      </c>
      <c r="E107">
        <v>441</v>
      </c>
      <c r="F107" s="2" t="s">
        <v>18</v>
      </c>
      <c r="G107">
        <v>2024</v>
      </c>
      <c r="H107">
        <f t="shared" si="1"/>
        <v>-41</v>
      </c>
    </row>
    <row r="108" spans="1:8" x14ac:dyDescent="0.25">
      <c r="A108" s="1">
        <v>45398</v>
      </c>
      <c r="B108" s="2" t="s">
        <v>7</v>
      </c>
      <c r="C108" s="2" t="s">
        <v>13</v>
      </c>
      <c r="D108">
        <v>881</v>
      </c>
      <c r="E108">
        <v>270</v>
      </c>
      <c r="F108" s="2" t="s">
        <v>18</v>
      </c>
      <c r="G108">
        <v>2024</v>
      </c>
      <c r="H108">
        <f t="shared" si="1"/>
        <v>611</v>
      </c>
    </row>
    <row r="109" spans="1:8" x14ac:dyDescent="0.25">
      <c r="A109" s="1">
        <v>45399</v>
      </c>
      <c r="B109" s="2" t="s">
        <v>10</v>
      </c>
      <c r="C109" s="2" t="s">
        <v>8</v>
      </c>
      <c r="D109">
        <v>989</v>
      </c>
      <c r="E109">
        <v>731</v>
      </c>
      <c r="F109" s="2" t="s">
        <v>18</v>
      </c>
      <c r="G109">
        <v>2024</v>
      </c>
      <c r="H109">
        <f t="shared" si="1"/>
        <v>258</v>
      </c>
    </row>
    <row r="110" spans="1:8" x14ac:dyDescent="0.25">
      <c r="A110" s="1">
        <v>45400</v>
      </c>
      <c r="B110" s="2" t="s">
        <v>10</v>
      </c>
      <c r="C110" s="2" t="s">
        <v>13</v>
      </c>
      <c r="D110">
        <v>938</v>
      </c>
      <c r="E110">
        <v>164</v>
      </c>
      <c r="F110" s="2" t="s">
        <v>18</v>
      </c>
      <c r="G110">
        <v>2024</v>
      </c>
      <c r="H110">
        <f t="shared" si="1"/>
        <v>774</v>
      </c>
    </row>
    <row r="111" spans="1:8" x14ac:dyDescent="0.25">
      <c r="A111" s="1">
        <v>45401</v>
      </c>
      <c r="B111" s="2" t="s">
        <v>7</v>
      </c>
      <c r="C111" s="2" t="s">
        <v>8</v>
      </c>
      <c r="D111">
        <v>650</v>
      </c>
      <c r="E111">
        <v>384</v>
      </c>
      <c r="F111" s="2" t="s">
        <v>18</v>
      </c>
      <c r="G111">
        <v>2024</v>
      </c>
      <c r="H111">
        <f t="shared" si="1"/>
        <v>266</v>
      </c>
    </row>
    <row r="112" spans="1:8" x14ac:dyDescent="0.25">
      <c r="A112" s="1">
        <v>45402</v>
      </c>
      <c r="B112" s="2" t="s">
        <v>10</v>
      </c>
      <c r="C112" s="2" t="s">
        <v>13</v>
      </c>
      <c r="D112">
        <v>779</v>
      </c>
      <c r="E112">
        <v>791</v>
      </c>
      <c r="F112" s="2" t="s">
        <v>18</v>
      </c>
      <c r="G112">
        <v>2024</v>
      </c>
      <c r="H112">
        <f t="shared" si="1"/>
        <v>-12</v>
      </c>
    </row>
    <row r="113" spans="1:8" x14ac:dyDescent="0.25">
      <c r="A113" s="1">
        <v>45403</v>
      </c>
      <c r="B113" s="2" t="s">
        <v>7</v>
      </c>
      <c r="C113" s="2" t="s">
        <v>11</v>
      </c>
      <c r="D113">
        <v>748</v>
      </c>
      <c r="E113">
        <v>269</v>
      </c>
      <c r="F113" s="2" t="s">
        <v>18</v>
      </c>
      <c r="G113">
        <v>2024</v>
      </c>
      <c r="H113">
        <f t="shared" si="1"/>
        <v>479</v>
      </c>
    </row>
    <row r="114" spans="1:8" x14ac:dyDescent="0.25">
      <c r="A114" s="1">
        <v>45404</v>
      </c>
      <c r="B114" s="2" t="s">
        <v>7</v>
      </c>
      <c r="C114" s="2" t="s">
        <v>14</v>
      </c>
      <c r="D114">
        <v>113</v>
      </c>
      <c r="E114">
        <v>296</v>
      </c>
      <c r="F114" s="2" t="s">
        <v>18</v>
      </c>
      <c r="G114">
        <v>2024</v>
      </c>
      <c r="H114">
        <f t="shared" si="1"/>
        <v>-183</v>
      </c>
    </row>
    <row r="115" spans="1:8" x14ac:dyDescent="0.25">
      <c r="A115" s="1">
        <v>45405</v>
      </c>
      <c r="B115" s="2" t="s">
        <v>7</v>
      </c>
      <c r="C115" s="2" t="s">
        <v>8</v>
      </c>
      <c r="D115">
        <v>820</v>
      </c>
      <c r="E115">
        <v>150</v>
      </c>
      <c r="F115" s="2" t="s">
        <v>18</v>
      </c>
      <c r="G115">
        <v>2024</v>
      </c>
      <c r="H115">
        <f t="shared" si="1"/>
        <v>670</v>
      </c>
    </row>
    <row r="116" spans="1:8" x14ac:dyDescent="0.25">
      <c r="A116" s="1">
        <v>45406</v>
      </c>
      <c r="B116" s="2" t="s">
        <v>7</v>
      </c>
      <c r="C116" s="2" t="s">
        <v>8</v>
      </c>
      <c r="D116">
        <v>634</v>
      </c>
      <c r="E116">
        <v>465</v>
      </c>
      <c r="F116" s="2" t="s">
        <v>18</v>
      </c>
      <c r="G116">
        <v>2024</v>
      </c>
      <c r="H116">
        <f t="shared" si="1"/>
        <v>169</v>
      </c>
    </row>
    <row r="117" spans="1:8" x14ac:dyDescent="0.25">
      <c r="A117" s="1">
        <v>45407</v>
      </c>
      <c r="B117" s="2" t="s">
        <v>15</v>
      </c>
      <c r="C117" s="2" t="s">
        <v>13</v>
      </c>
      <c r="D117">
        <v>604</v>
      </c>
      <c r="E117">
        <v>271</v>
      </c>
      <c r="F117" s="2" t="s">
        <v>18</v>
      </c>
      <c r="G117">
        <v>2024</v>
      </c>
      <c r="H117">
        <f t="shared" si="1"/>
        <v>333</v>
      </c>
    </row>
    <row r="118" spans="1:8" x14ac:dyDescent="0.25">
      <c r="A118" s="1">
        <v>45408</v>
      </c>
      <c r="B118" s="2" t="s">
        <v>10</v>
      </c>
      <c r="C118" s="2" t="s">
        <v>13</v>
      </c>
      <c r="D118">
        <v>947</v>
      </c>
      <c r="E118">
        <v>228</v>
      </c>
      <c r="F118" s="2" t="s">
        <v>18</v>
      </c>
      <c r="G118">
        <v>2024</v>
      </c>
      <c r="H118">
        <f t="shared" si="1"/>
        <v>719</v>
      </c>
    </row>
    <row r="119" spans="1:8" x14ac:dyDescent="0.25">
      <c r="A119" s="1">
        <v>45409</v>
      </c>
      <c r="B119" s="2" t="s">
        <v>7</v>
      </c>
      <c r="C119" s="2" t="s">
        <v>13</v>
      </c>
      <c r="D119">
        <v>876</v>
      </c>
      <c r="E119">
        <v>558</v>
      </c>
      <c r="F119" s="2" t="s">
        <v>18</v>
      </c>
      <c r="G119">
        <v>2024</v>
      </c>
      <c r="H119">
        <f t="shared" si="1"/>
        <v>318</v>
      </c>
    </row>
    <row r="120" spans="1:8" x14ac:dyDescent="0.25">
      <c r="A120" s="1">
        <v>45410</v>
      </c>
      <c r="B120" s="2" t="s">
        <v>10</v>
      </c>
      <c r="C120" s="2" t="s">
        <v>8</v>
      </c>
      <c r="D120">
        <v>839</v>
      </c>
      <c r="E120">
        <v>224</v>
      </c>
      <c r="F120" s="2" t="s">
        <v>18</v>
      </c>
      <c r="G120">
        <v>2024</v>
      </c>
      <c r="H120">
        <f t="shared" si="1"/>
        <v>615</v>
      </c>
    </row>
    <row r="121" spans="1:8" x14ac:dyDescent="0.25">
      <c r="A121" s="1">
        <v>45411</v>
      </c>
      <c r="B121" s="2" t="s">
        <v>15</v>
      </c>
      <c r="C121" s="2" t="s">
        <v>8</v>
      </c>
      <c r="D121">
        <v>874</v>
      </c>
      <c r="E121">
        <v>655</v>
      </c>
      <c r="F121" s="2" t="s">
        <v>18</v>
      </c>
      <c r="G121">
        <v>2024</v>
      </c>
      <c r="H121">
        <f t="shared" si="1"/>
        <v>219</v>
      </c>
    </row>
    <row r="122" spans="1:8" x14ac:dyDescent="0.25">
      <c r="A122" s="1">
        <v>45412</v>
      </c>
      <c r="B122" s="2" t="s">
        <v>10</v>
      </c>
      <c r="C122" s="2" t="s">
        <v>8</v>
      </c>
      <c r="D122">
        <v>309</v>
      </c>
      <c r="E122">
        <v>676</v>
      </c>
      <c r="F122" s="2" t="s">
        <v>18</v>
      </c>
      <c r="G122">
        <v>2024</v>
      </c>
      <c r="H122">
        <f t="shared" si="1"/>
        <v>-367</v>
      </c>
    </row>
    <row r="123" spans="1:8" x14ac:dyDescent="0.25">
      <c r="A123" s="1">
        <v>45413</v>
      </c>
      <c r="B123" s="2" t="s">
        <v>10</v>
      </c>
      <c r="C123" s="2" t="s">
        <v>13</v>
      </c>
      <c r="D123">
        <v>555</v>
      </c>
      <c r="E123">
        <v>723</v>
      </c>
      <c r="F123" s="2" t="s">
        <v>19</v>
      </c>
      <c r="G123">
        <v>2024</v>
      </c>
      <c r="H123">
        <f t="shared" si="1"/>
        <v>-168</v>
      </c>
    </row>
    <row r="124" spans="1:8" x14ac:dyDescent="0.25">
      <c r="A124" s="1">
        <v>45414</v>
      </c>
      <c r="B124" s="2" t="s">
        <v>12</v>
      </c>
      <c r="C124" s="2" t="s">
        <v>13</v>
      </c>
      <c r="D124">
        <v>568</v>
      </c>
      <c r="E124">
        <v>786</v>
      </c>
      <c r="F124" s="2" t="s">
        <v>19</v>
      </c>
      <c r="G124">
        <v>2024</v>
      </c>
      <c r="H124">
        <f t="shared" si="1"/>
        <v>-218</v>
      </c>
    </row>
    <row r="125" spans="1:8" x14ac:dyDescent="0.25">
      <c r="A125" s="1">
        <v>45415</v>
      </c>
      <c r="B125" s="2" t="s">
        <v>12</v>
      </c>
      <c r="C125" s="2" t="s">
        <v>11</v>
      </c>
      <c r="D125">
        <v>573</v>
      </c>
      <c r="E125">
        <v>795</v>
      </c>
      <c r="F125" s="2" t="s">
        <v>19</v>
      </c>
      <c r="G125">
        <v>2024</v>
      </c>
      <c r="H125">
        <f t="shared" si="1"/>
        <v>-222</v>
      </c>
    </row>
    <row r="126" spans="1:8" x14ac:dyDescent="0.25">
      <c r="A126" s="1">
        <v>45416</v>
      </c>
      <c r="B126" s="2" t="s">
        <v>12</v>
      </c>
      <c r="C126" s="2" t="s">
        <v>11</v>
      </c>
      <c r="D126">
        <v>672</v>
      </c>
      <c r="E126">
        <v>116</v>
      </c>
      <c r="F126" s="2" t="s">
        <v>19</v>
      </c>
      <c r="G126">
        <v>2024</v>
      </c>
      <c r="H126">
        <f t="shared" si="1"/>
        <v>556</v>
      </c>
    </row>
    <row r="127" spans="1:8" x14ac:dyDescent="0.25">
      <c r="A127" s="1">
        <v>45417</v>
      </c>
      <c r="B127" s="2" t="s">
        <v>7</v>
      </c>
      <c r="C127" s="2" t="s">
        <v>11</v>
      </c>
      <c r="D127">
        <v>500</v>
      </c>
      <c r="E127">
        <v>506</v>
      </c>
      <c r="F127" s="2" t="s">
        <v>19</v>
      </c>
      <c r="G127">
        <v>2024</v>
      </c>
      <c r="H127">
        <f t="shared" si="1"/>
        <v>-6</v>
      </c>
    </row>
    <row r="128" spans="1:8" x14ac:dyDescent="0.25">
      <c r="A128" s="1">
        <v>45418</v>
      </c>
      <c r="B128" s="2" t="s">
        <v>12</v>
      </c>
      <c r="C128" s="2" t="s">
        <v>14</v>
      </c>
      <c r="D128">
        <v>156</v>
      </c>
      <c r="E128">
        <v>175</v>
      </c>
      <c r="F128" s="2" t="s">
        <v>19</v>
      </c>
      <c r="G128">
        <v>2024</v>
      </c>
      <c r="H128">
        <f t="shared" si="1"/>
        <v>-19</v>
      </c>
    </row>
    <row r="129" spans="1:8" x14ac:dyDescent="0.25">
      <c r="A129" s="1">
        <v>45419</v>
      </c>
      <c r="B129" s="2" t="s">
        <v>12</v>
      </c>
      <c r="C129" s="2" t="s">
        <v>13</v>
      </c>
      <c r="D129">
        <v>-100</v>
      </c>
      <c r="E129">
        <v>188</v>
      </c>
      <c r="F129" s="2" t="s">
        <v>19</v>
      </c>
      <c r="G129">
        <v>2024</v>
      </c>
      <c r="H129">
        <f t="shared" si="1"/>
        <v>-288</v>
      </c>
    </row>
    <row r="130" spans="1:8" x14ac:dyDescent="0.25">
      <c r="A130" s="1">
        <v>45420</v>
      </c>
      <c r="B130" s="2" t="s">
        <v>12</v>
      </c>
      <c r="C130" s="2" t="s">
        <v>13</v>
      </c>
      <c r="D130">
        <v>849</v>
      </c>
      <c r="E130">
        <v>674</v>
      </c>
      <c r="F130" s="2" t="s">
        <v>19</v>
      </c>
      <c r="G130">
        <v>2024</v>
      </c>
      <c r="H130">
        <f t="shared" ref="H130:H193" si="2">D130-E130</f>
        <v>175</v>
      </c>
    </row>
    <row r="131" spans="1:8" x14ac:dyDescent="0.25">
      <c r="A131" s="1">
        <v>45421</v>
      </c>
      <c r="B131" s="2" t="s">
        <v>10</v>
      </c>
      <c r="C131" s="2" t="s">
        <v>8</v>
      </c>
      <c r="D131">
        <v>763</v>
      </c>
      <c r="E131">
        <v>780</v>
      </c>
      <c r="F131" s="2" t="s">
        <v>19</v>
      </c>
      <c r="G131">
        <v>2024</v>
      </c>
      <c r="H131">
        <f t="shared" si="2"/>
        <v>-17</v>
      </c>
    </row>
    <row r="132" spans="1:8" x14ac:dyDescent="0.25">
      <c r="A132" s="1">
        <v>45422</v>
      </c>
      <c r="B132" s="2" t="s">
        <v>7</v>
      </c>
      <c r="C132" s="2" t="s">
        <v>11</v>
      </c>
      <c r="D132">
        <v>380</v>
      </c>
      <c r="E132">
        <v>205</v>
      </c>
      <c r="F132" s="2" t="s">
        <v>19</v>
      </c>
      <c r="G132">
        <v>2024</v>
      </c>
      <c r="H132">
        <f t="shared" si="2"/>
        <v>175</v>
      </c>
    </row>
    <row r="133" spans="1:8" x14ac:dyDescent="0.25">
      <c r="A133" s="1">
        <v>45423</v>
      </c>
      <c r="B133" s="2" t="s">
        <v>10</v>
      </c>
      <c r="C133" s="2" t="s">
        <v>13</v>
      </c>
      <c r="D133">
        <v>104</v>
      </c>
      <c r="E133">
        <v>746</v>
      </c>
      <c r="F133" s="2" t="s">
        <v>19</v>
      </c>
      <c r="G133">
        <v>2024</v>
      </c>
      <c r="H133">
        <f t="shared" si="2"/>
        <v>-642</v>
      </c>
    </row>
    <row r="134" spans="1:8" x14ac:dyDescent="0.25">
      <c r="A134" s="1">
        <v>45424</v>
      </c>
      <c r="B134" s="2" t="s">
        <v>12</v>
      </c>
      <c r="C134" s="2" t="s">
        <v>8</v>
      </c>
      <c r="D134">
        <v>712</v>
      </c>
      <c r="E134">
        <v>170</v>
      </c>
      <c r="F134" s="2" t="s">
        <v>19</v>
      </c>
      <c r="G134">
        <v>2024</v>
      </c>
      <c r="H134">
        <f t="shared" si="2"/>
        <v>542</v>
      </c>
    </row>
    <row r="135" spans="1:8" x14ac:dyDescent="0.25">
      <c r="A135" s="1">
        <v>45425</v>
      </c>
      <c r="B135" s="2" t="s">
        <v>15</v>
      </c>
      <c r="C135" s="2" t="s">
        <v>13</v>
      </c>
      <c r="D135">
        <v>405</v>
      </c>
      <c r="E135">
        <v>371</v>
      </c>
      <c r="F135" s="2" t="s">
        <v>19</v>
      </c>
      <c r="G135">
        <v>2024</v>
      </c>
      <c r="H135">
        <f t="shared" si="2"/>
        <v>34</v>
      </c>
    </row>
    <row r="136" spans="1:8" x14ac:dyDescent="0.25">
      <c r="A136" s="1">
        <v>45426</v>
      </c>
      <c r="B136" s="2" t="s">
        <v>7</v>
      </c>
      <c r="C136" s="2" t="s">
        <v>13</v>
      </c>
      <c r="D136">
        <v>443</v>
      </c>
      <c r="E136">
        <v>498</v>
      </c>
      <c r="F136" s="2" t="s">
        <v>19</v>
      </c>
      <c r="G136">
        <v>2024</v>
      </c>
      <c r="H136">
        <f t="shared" si="2"/>
        <v>-55</v>
      </c>
    </row>
    <row r="137" spans="1:8" x14ac:dyDescent="0.25">
      <c r="A137" s="1">
        <v>45427</v>
      </c>
      <c r="B137" s="2" t="s">
        <v>12</v>
      </c>
      <c r="C137" s="2" t="s">
        <v>8</v>
      </c>
      <c r="D137">
        <v>0</v>
      </c>
      <c r="E137">
        <v>759</v>
      </c>
      <c r="F137" s="2" t="s">
        <v>19</v>
      </c>
      <c r="G137">
        <v>2024</v>
      </c>
      <c r="H137">
        <f t="shared" si="2"/>
        <v>-759</v>
      </c>
    </row>
    <row r="138" spans="1:8" x14ac:dyDescent="0.25">
      <c r="A138" s="1">
        <v>45428</v>
      </c>
      <c r="B138" s="2" t="s">
        <v>15</v>
      </c>
      <c r="C138" s="2" t="s">
        <v>8</v>
      </c>
      <c r="D138">
        <v>666</v>
      </c>
      <c r="E138">
        <v>340</v>
      </c>
      <c r="F138" s="2" t="s">
        <v>19</v>
      </c>
      <c r="G138">
        <v>2024</v>
      </c>
      <c r="H138">
        <f t="shared" si="2"/>
        <v>326</v>
      </c>
    </row>
    <row r="139" spans="1:8" x14ac:dyDescent="0.25">
      <c r="A139" s="1">
        <v>45429</v>
      </c>
      <c r="B139" s="2" t="s">
        <v>7</v>
      </c>
      <c r="C139" s="2" t="s">
        <v>8</v>
      </c>
      <c r="D139">
        <v>253</v>
      </c>
      <c r="E139">
        <v>53</v>
      </c>
      <c r="F139" s="2" t="s">
        <v>19</v>
      </c>
      <c r="G139">
        <v>2024</v>
      </c>
      <c r="H139">
        <f t="shared" si="2"/>
        <v>200</v>
      </c>
    </row>
    <row r="140" spans="1:8" x14ac:dyDescent="0.25">
      <c r="A140" s="1">
        <v>45430</v>
      </c>
      <c r="B140" s="2" t="s">
        <v>15</v>
      </c>
      <c r="C140" s="2" t="s">
        <v>14</v>
      </c>
      <c r="D140">
        <v>888</v>
      </c>
      <c r="E140">
        <v>750</v>
      </c>
      <c r="F140" s="2" t="s">
        <v>19</v>
      </c>
      <c r="G140">
        <v>2024</v>
      </c>
      <c r="H140">
        <f t="shared" si="2"/>
        <v>138</v>
      </c>
    </row>
    <row r="141" spans="1:8" x14ac:dyDescent="0.25">
      <c r="A141" s="1">
        <v>45431</v>
      </c>
      <c r="B141" s="2" t="s">
        <v>7</v>
      </c>
      <c r="C141" s="2" t="s">
        <v>11</v>
      </c>
      <c r="D141">
        <v>453</v>
      </c>
      <c r="E141">
        <v>288</v>
      </c>
      <c r="F141" s="2" t="s">
        <v>19</v>
      </c>
      <c r="G141">
        <v>2024</v>
      </c>
      <c r="H141">
        <f t="shared" si="2"/>
        <v>165</v>
      </c>
    </row>
    <row r="142" spans="1:8" x14ac:dyDescent="0.25">
      <c r="A142" s="1">
        <v>45432</v>
      </c>
      <c r="B142" s="2" t="s">
        <v>12</v>
      </c>
      <c r="C142" s="2" t="s">
        <v>11</v>
      </c>
      <c r="D142">
        <v>457</v>
      </c>
      <c r="E142">
        <v>727</v>
      </c>
      <c r="F142" s="2" t="s">
        <v>19</v>
      </c>
      <c r="G142">
        <v>2024</v>
      </c>
      <c r="H142">
        <f t="shared" si="2"/>
        <v>-270</v>
      </c>
    </row>
    <row r="143" spans="1:8" x14ac:dyDescent="0.25">
      <c r="A143" s="1">
        <v>45433</v>
      </c>
      <c r="B143" s="2" t="s">
        <v>10</v>
      </c>
      <c r="C143" s="2" t="s">
        <v>14</v>
      </c>
      <c r="D143">
        <v>797</v>
      </c>
      <c r="E143">
        <v>221</v>
      </c>
      <c r="F143" s="2" t="s">
        <v>19</v>
      </c>
      <c r="G143">
        <v>2024</v>
      </c>
      <c r="H143">
        <f t="shared" si="2"/>
        <v>576</v>
      </c>
    </row>
    <row r="144" spans="1:8" x14ac:dyDescent="0.25">
      <c r="A144" s="1">
        <v>45434</v>
      </c>
      <c r="B144" s="2" t="s">
        <v>15</v>
      </c>
      <c r="C144" s="2" t="s">
        <v>8</v>
      </c>
      <c r="D144">
        <v>507</v>
      </c>
      <c r="E144">
        <v>773</v>
      </c>
      <c r="F144" s="2" t="s">
        <v>19</v>
      </c>
      <c r="G144">
        <v>2024</v>
      </c>
      <c r="H144">
        <f t="shared" si="2"/>
        <v>-266</v>
      </c>
    </row>
    <row r="145" spans="1:8" x14ac:dyDescent="0.25">
      <c r="A145" s="1">
        <v>45435</v>
      </c>
      <c r="B145" s="2" t="s">
        <v>15</v>
      </c>
      <c r="C145" s="2" t="s">
        <v>8</v>
      </c>
      <c r="D145">
        <v>511</v>
      </c>
      <c r="E145">
        <v>632</v>
      </c>
      <c r="F145" s="2" t="s">
        <v>19</v>
      </c>
      <c r="G145">
        <v>2024</v>
      </c>
      <c r="H145">
        <f t="shared" si="2"/>
        <v>-121</v>
      </c>
    </row>
    <row r="146" spans="1:8" x14ac:dyDescent="0.25">
      <c r="A146" s="1">
        <v>45436</v>
      </c>
      <c r="B146" s="2" t="s">
        <v>12</v>
      </c>
      <c r="C146" s="2" t="s">
        <v>14</v>
      </c>
      <c r="D146">
        <v>129</v>
      </c>
      <c r="E146">
        <v>710</v>
      </c>
      <c r="F146" s="2" t="s">
        <v>19</v>
      </c>
      <c r="G146">
        <v>2024</v>
      </c>
      <c r="H146">
        <f t="shared" si="2"/>
        <v>-581</v>
      </c>
    </row>
    <row r="147" spans="1:8" x14ac:dyDescent="0.25">
      <c r="A147" s="1">
        <v>45437</v>
      </c>
      <c r="B147" s="2" t="s">
        <v>7</v>
      </c>
      <c r="C147" s="2" t="s">
        <v>13</v>
      </c>
      <c r="D147">
        <v>471</v>
      </c>
      <c r="E147">
        <v>677</v>
      </c>
      <c r="F147" s="2" t="s">
        <v>19</v>
      </c>
      <c r="G147">
        <v>2024</v>
      </c>
      <c r="H147">
        <f t="shared" si="2"/>
        <v>-206</v>
      </c>
    </row>
    <row r="148" spans="1:8" x14ac:dyDescent="0.25">
      <c r="A148" s="1">
        <v>45438</v>
      </c>
      <c r="B148" s="2" t="s">
        <v>10</v>
      </c>
      <c r="C148" s="2" t="s">
        <v>14</v>
      </c>
      <c r="D148">
        <v>0</v>
      </c>
      <c r="E148">
        <v>654</v>
      </c>
      <c r="F148" s="2" t="s">
        <v>19</v>
      </c>
      <c r="G148">
        <v>2024</v>
      </c>
      <c r="H148">
        <f t="shared" si="2"/>
        <v>-654</v>
      </c>
    </row>
    <row r="149" spans="1:8" x14ac:dyDescent="0.25">
      <c r="A149" s="1">
        <v>45439</v>
      </c>
      <c r="B149" s="2" t="s">
        <v>12</v>
      </c>
      <c r="C149" s="2" t="s">
        <v>14</v>
      </c>
      <c r="D149">
        <v>731</v>
      </c>
      <c r="E149">
        <v>664</v>
      </c>
      <c r="F149" s="2" t="s">
        <v>19</v>
      </c>
      <c r="G149">
        <v>2024</v>
      </c>
      <c r="H149">
        <f t="shared" si="2"/>
        <v>67</v>
      </c>
    </row>
    <row r="150" spans="1:8" x14ac:dyDescent="0.25">
      <c r="A150" s="1">
        <v>45440</v>
      </c>
      <c r="B150" s="2" t="s">
        <v>12</v>
      </c>
      <c r="C150" s="2" t="s">
        <v>13</v>
      </c>
      <c r="D150">
        <v>954</v>
      </c>
      <c r="E150">
        <v>429</v>
      </c>
      <c r="F150" s="2" t="s">
        <v>19</v>
      </c>
      <c r="G150">
        <v>2024</v>
      </c>
      <c r="H150">
        <f t="shared" si="2"/>
        <v>525</v>
      </c>
    </row>
    <row r="151" spans="1:8" x14ac:dyDescent="0.25">
      <c r="A151" s="1">
        <v>45441</v>
      </c>
      <c r="B151" s="2" t="s">
        <v>10</v>
      </c>
      <c r="C151" s="2" t="s">
        <v>11</v>
      </c>
      <c r="D151">
        <v>602</v>
      </c>
      <c r="E151">
        <v>759</v>
      </c>
      <c r="F151" s="2" t="s">
        <v>19</v>
      </c>
      <c r="G151">
        <v>2024</v>
      </c>
      <c r="H151">
        <f t="shared" si="2"/>
        <v>-157</v>
      </c>
    </row>
    <row r="152" spans="1:8" x14ac:dyDescent="0.25">
      <c r="A152" s="1">
        <v>45442</v>
      </c>
      <c r="B152" s="2" t="s">
        <v>7</v>
      </c>
      <c r="C152" s="2" t="s">
        <v>8</v>
      </c>
      <c r="D152">
        <v>107</v>
      </c>
      <c r="E152">
        <v>159</v>
      </c>
      <c r="F152" s="2" t="s">
        <v>19</v>
      </c>
      <c r="G152">
        <v>2024</v>
      </c>
      <c r="H152">
        <f t="shared" si="2"/>
        <v>-52</v>
      </c>
    </row>
    <row r="153" spans="1:8" x14ac:dyDescent="0.25">
      <c r="A153" s="1">
        <v>45443</v>
      </c>
      <c r="B153" s="2" t="s">
        <v>15</v>
      </c>
      <c r="C153" s="2" t="s">
        <v>11</v>
      </c>
      <c r="D153">
        <v>717</v>
      </c>
      <c r="E153">
        <v>379</v>
      </c>
      <c r="F153" s="2" t="s">
        <v>19</v>
      </c>
      <c r="G153">
        <v>2024</v>
      </c>
      <c r="H153">
        <f t="shared" si="2"/>
        <v>338</v>
      </c>
    </row>
    <row r="154" spans="1:8" x14ac:dyDescent="0.25">
      <c r="A154" s="1">
        <v>45444</v>
      </c>
      <c r="B154" s="2" t="s">
        <v>15</v>
      </c>
      <c r="C154" s="2" t="s">
        <v>8</v>
      </c>
      <c r="D154">
        <v>0</v>
      </c>
      <c r="E154">
        <v>150</v>
      </c>
      <c r="F154" s="2" t="s">
        <v>20</v>
      </c>
      <c r="G154">
        <v>2024</v>
      </c>
      <c r="H154">
        <f t="shared" si="2"/>
        <v>-150</v>
      </c>
    </row>
    <row r="155" spans="1:8" x14ac:dyDescent="0.25">
      <c r="A155" s="1">
        <v>45445</v>
      </c>
      <c r="B155" s="2" t="s">
        <v>10</v>
      </c>
      <c r="C155" s="2" t="s">
        <v>11</v>
      </c>
      <c r="D155">
        <v>794</v>
      </c>
      <c r="E155">
        <v>744</v>
      </c>
      <c r="F155" s="2" t="s">
        <v>20</v>
      </c>
      <c r="G155">
        <v>2024</v>
      </c>
      <c r="H155">
        <f t="shared" si="2"/>
        <v>50</v>
      </c>
    </row>
    <row r="156" spans="1:8" x14ac:dyDescent="0.25">
      <c r="A156" s="1">
        <v>45446</v>
      </c>
      <c r="B156" s="2" t="s">
        <v>15</v>
      </c>
      <c r="C156" s="2" t="s">
        <v>14</v>
      </c>
      <c r="D156">
        <v>996</v>
      </c>
      <c r="E156">
        <v>557</v>
      </c>
      <c r="F156" s="2" t="s">
        <v>20</v>
      </c>
      <c r="G156">
        <v>2024</v>
      </c>
      <c r="H156">
        <f t="shared" si="2"/>
        <v>439</v>
      </c>
    </row>
    <row r="157" spans="1:8" x14ac:dyDescent="0.25">
      <c r="A157" s="1">
        <v>45447</v>
      </c>
      <c r="B157" s="2" t="s">
        <v>10</v>
      </c>
      <c r="C157" s="2" t="s">
        <v>11</v>
      </c>
      <c r="D157">
        <v>951</v>
      </c>
      <c r="E157">
        <v>721</v>
      </c>
      <c r="F157" s="2" t="s">
        <v>20</v>
      </c>
      <c r="G157">
        <v>2024</v>
      </c>
      <c r="H157">
        <f t="shared" si="2"/>
        <v>230</v>
      </c>
    </row>
    <row r="158" spans="1:8" x14ac:dyDescent="0.25">
      <c r="A158" s="1">
        <v>45448</v>
      </c>
      <c r="B158" s="2" t="s">
        <v>10</v>
      </c>
      <c r="C158" s="2" t="s">
        <v>14</v>
      </c>
      <c r="D158">
        <v>476</v>
      </c>
      <c r="E158">
        <v>643</v>
      </c>
      <c r="F158" s="2" t="s">
        <v>20</v>
      </c>
      <c r="G158">
        <v>2024</v>
      </c>
      <c r="H158">
        <f t="shared" si="2"/>
        <v>-167</v>
      </c>
    </row>
    <row r="159" spans="1:8" x14ac:dyDescent="0.25">
      <c r="A159" s="1">
        <v>45449</v>
      </c>
      <c r="B159" s="2" t="s">
        <v>10</v>
      </c>
      <c r="C159" s="2" t="s">
        <v>8</v>
      </c>
      <c r="D159">
        <v>821</v>
      </c>
      <c r="E159">
        <v>85</v>
      </c>
      <c r="F159" s="2" t="s">
        <v>20</v>
      </c>
      <c r="G159">
        <v>2024</v>
      </c>
      <c r="H159">
        <f t="shared" si="2"/>
        <v>736</v>
      </c>
    </row>
    <row r="160" spans="1:8" x14ac:dyDescent="0.25">
      <c r="A160" s="1">
        <v>45450</v>
      </c>
      <c r="B160" s="2" t="s">
        <v>15</v>
      </c>
      <c r="C160" s="2" t="s">
        <v>8</v>
      </c>
      <c r="D160">
        <v>248</v>
      </c>
      <c r="E160">
        <v>287</v>
      </c>
      <c r="F160" s="2" t="s">
        <v>20</v>
      </c>
      <c r="G160">
        <v>2024</v>
      </c>
      <c r="H160">
        <f t="shared" si="2"/>
        <v>-39</v>
      </c>
    </row>
    <row r="161" spans="1:8" x14ac:dyDescent="0.25">
      <c r="A161" s="1">
        <v>45451</v>
      </c>
      <c r="B161" s="2" t="s">
        <v>12</v>
      </c>
      <c r="C161" s="2" t="s">
        <v>8</v>
      </c>
      <c r="D161">
        <v>985</v>
      </c>
      <c r="E161">
        <v>293</v>
      </c>
      <c r="F161" s="2" t="s">
        <v>20</v>
      </c>
      <c r="G161">
        <v>2024</v>
      </c>
      <c r="H161">
        <f t="shared" si="2"/>
        <v>692</v>
      </c>
    </row>
    <row r="162" spans="1:8" x14ac:dyDescent="0.25">
      <c r="A162" s="1">
        <v>45452</v>
      </c>
      <c r="B162" s="2" t="s">
        <v>15</v>
      </c>
      <c r="C162" s="2" t="s">
        <v>14</v>
      </c>
      <c r="D162">
        <v>359</v>
      </c>
      <c r="E162">
        <v>300</v>
      </c>
      <c r="F162" s="2" t="s">
        <v>20</v>
      </c>
      <c r="G162">
        <v>2024</v>
      </c>
      <c r="H162">
        <f t="shared" si="2"/>
        <v>59</v>
      </c>
    </row>
    <row r="163" spans="1:8" x14ac:dyDescent="0.25">
      <c r="A163" s="1">
        <v>45453</v>
      </c>
      <c r="B163" s="2" t="s">
        <v>15</v>
      </c>
      <c r="C163" s="2" t="s">
        <v>13</v>
      </c>
      <c r="D163">
        <v>-100</v>
      </c>
      <c r="E163">
        <v>442</v>
      </c>
      <c r="F163" s="2" t="s">
        <v>20</v>
      </c>
      <c r="G163">
        <v>2024</v>
      </c>
      <c r="H163">
        <f t="shared" si="2"/>
        <v>-542</v>
      </c>
    </row>
    <row r="164" spans="1:8" x14ac:dyDescent="0.25">
      <c r="A164" s="1">
        <v>45454</v>
      </c>
      <c r="B164" s="2" t="s">
        <v>10</v>
      </c>
      <c r="C164" s="2" t="s">
        <v>14</v>
      </c>
      <c r="D164">
        <v>910</v>
      </c>
      <c r="E164">
        <v>331</v>
      </c>
      <c r="F164" s="2" t="s">
        <v>20</v>
      </c>
      <c r="G164">
        <v>2024</v>
      </c>
      <c r="H164">
        <f t="shared" si="2"/>
        <v>579</v>
      </c>
    </row>
    <row r="165" spans="1:8" x14ac:dyDescent="0.25">
      <c r="A165" s="1">
        <v>45455</v>
      </c>
      <c r="B165" s="2" t="s">
        <v>15</v>
      </c>
      <c r="C165" s="2" t="s">
        <v>13</v>
      </c>
      <c r="D165">
        <v>677</v>
      </c>
      <c r="E165">
        <v>71</v>
      </c>
      <c r="F165" s="2" t="s">
        <v>20</v>
      </c>
      <c r="G165">
        <v>2024</v>
      </c>
      <c r="H165">
        <f t="shared" si="2"/>
        <v>606</v>
      </c>
    </row>
    <row r="166" spans="1:8" x14ac:dyDescent="0.25">
      <c r="A166" s="1">
        <v>45456</v>
      </c>
      <c r="B166" s="2" t="s">
        <v>10</v>
      </c>
      <c r="C166" s="2" t="s">
        <v>14</v>
      </c>
      <c r="D166">
        <v>0</v>
      </c>
      <c r="E166">
        <v>479</v>
      </c>
      <c r="F166" s="2" t="s">
        <v>20</v>
      </c>
      <c r="G166">
        <v>2024</v>
      </c>
      <c r="H166">
        <f t="shared" si="2"/>
        <v>-479</v>
      </c>
    </row>
    <row r="167" spans="1:8" x14ac:dyDescent="0.25">
      <c r="A167" s="1">
        <v>45457</v>
      </c>
      <c r="B167" s="2" t="s">
        <v>10</v>
      </c>
      <c r="C167" s="2" t="s">
        <v>14</v>
      </c>
      <c r="D167">
        <v>904</v>
      </c>
      <c r="E167">
        <v>279</v>
      </c>
      <c r="F167" s="2" t="s">
        <v>20</v>
      </c>
      <c r="G167">
        <v>2024</v>
      </c>
      <c r="H167">
        <f t="shared" si="2"/>
        <v>625</v>
      </c>
    </row>
    <row r="168" spans="1:8" x14ac:dyDescent="0.25">
      <c r="A168" s="1">
        <v>45458</v>
      </c>
      <c r="B168" s="2" t="s">
        <v>15</v>
      </c>
      <c r="C168" s="2" t="s">
        <v>14</v>
      </c>
      <c r="D168">
        <v>424</v>
      </c>
      <c r="E168">
        <v>450</v>
      </c>
      <c r="F168" s="2" t="s">
        <v>20</v>
      </c>
      <c r="G168">
        <v>2024</v>
      </c>
      <c r="H168">
        <f t="shared" si="2"/>
        <v>-26</v>
      </c>
    </row>
    <row r="169" spans="1:8" x14ac:dyDescent="0.25">
      <c r="A169" s="1">
        <v>45459</v>
      </c>
      <c r="B169" s="2" t="s">
        <v>15</v>
      </c>
      <c r="C169" s="2" t="s">
        <v>14</v>
      </c>
      <c r="D169">
        <v>212</v>
      </c>
      <c r="E169">
        <v>203</v>
      </c>
      <c r="F169" s="2" t="s">
        <v>20</v>
      </c>
      <c r="G169">
        <v>2024</v>
      </c>
      <c r="H169">
        <f t="shared" si="2"/>
        <v>9</v>
      </c>
    </row>
    <row r="170" spans="1:8" x14ac:dyDescent="0.25">
      <c r="A170" s="1">
        <v>45460</v>
      </c>
      <c r="B170" s="2" t="s">
        <v>10</v>
      </c>
      <c r="C170" s="2" t="s">
        <v>8</v>
      </c>
      <c r="D170">
        <v>0</v>
      </c>
      <c r="E170">
        <v>169</v>
      </c>
      <c r="F170" s="2" t="s">
        <v>20</v>
      </c>
      <c r="G170">
        <v>2024</v>
      </c>
      <c r="H170">
        <f t="shared" si="2"/>
        <v>-169</v>
      </c>
    </row>
    <row r="171" spans="1:8" x14ac:dyDescent="0.25">
      <c r="A171" s="1">
        <v>45461</v>
      </c>
      <c r="B171" s="2" t="s">
        <v>7</v>
      </c>
      <c r="C171" s="2" t="s">
        <v>13</v>
      </c>
      <c r="D171">
        <v>337</v>
      </c>
      <c r="E171">
        <v>727</v>
      </c>
      <c r="F171" s="2" t="s">
        <v>20</v>
      </c>
      <c r="G171">
        <v>2024</v>
      </c>
      <c r="H171">
        <f t="shared" si="2"/>
        <v>-390</v>
      </c>
    </row>
    <row r="172" spans="1:8" x14ac:dyDescent="0.25">
      <c r="A172" s="1">
        <v>45462</v>
      </c>
      <c r="B172" s="2" t="s">
        <v>12</v>
      </c>
      <c r="C172" s="2" t="s">
        <v>13</v>
      </c>
      <c r="D172">
        <v>460</v>
      </c>
      <c r="E172">
        <v>435</v>
      </c>
      <c r="F172" s="2" t="s">
        <v>20</v>
      </c>
      <c r="G172">
        <v>2024</v>
      </c>
      <c r="H172">
        <f t="shared" si="2"/>
        <v>25</v>
      </c>
    </row>
    <row r="173" spans="1:8" x14ac:dyDescent="0.25">
      <c r="A173" s="1">
        <v>45463</v>
      </c>
      <c r="B173" s="2" t="s">
        <v>15</v>
      </c>
      <c r="C173" s="2" t="s">
        <v>14</v>
      </c>
      <c r="D173">
        <v>959</v>
      </c>
      <c r="E173">
        <v>439</v>
      </c>
      <c r="F173" s="2" t="s">
        <v>20</v>
      </c>
      <c r="G173">
        <v>2024</v>
      </c>
      <c r="H173">
        <f t="shared" si="2"/>
        <v>520</v>
      </c>
    </row>
    <row r="174" spans="1:8" x14ac:dyDescent="0.25">
      <c r="A174" s="1">
        <v>45464</v>
      </c>
      <c r="B174" s="2" t="s">
        <v>10</v>
      </c>
      <c r="C174" s="2" t="s">
        <v>13</v>
      </c>
      <c r="D174">
        <v>655</v>
      </c>
      <c r="E174">
        <v>760</v>
      </c>
      <c r="F174" s="2" t="s">
        <v>20</v>
      </c>
      <c r="G174">
        <v>2024</v>
      </c>
      <c r="H174">
        <f t="shared" si="2"/>
        <v>-105</v>
      </c>
    </row>
    <row r="175" spans="1:8" x14ac:dyDescent="0.25">
      <c r="A175" s="1">
        <v>45465</v>
      </c>
      <c r="B175" s="2" t="s">
        <v>15</v>
      </c>
      <c r="C175" s="2" t="s">
        <v>11</v>
      </c>
      <c r="D175">
        <v>163</v>
      </c>
      <c r="E175">
        <v>446</v>
      </c>
      <c r="F175" s="2" t="s">
        <v>20</v>
      </c>
      <c r="G175">
        <v>2024</v>
      </c>
      <c r="H175">
        <f t="shared" si="2"/>
        <v>-283</v>
      </c>
    </row>
    <row r="176" spans="1:8" x14ac:dyDescent="0.25">
      <c r="A176" s="1">
        <v>45466</v>
      </c>
      <c r="B176" s="2" t="s">
        <v>12</v>
      </c>
      <c r="C176" s="2" t="s">
        <v>11</v>
      </c>
      <c r="D176">
        <v>554</v>
      </c>
      <c r="E176">
        <v>396</v>
      </c>
      <c r="F176" s="2" t="s">
        <v>20</v>
      </c>
      <c r="G176">
        <v>2024</v>
      </c>
      <c r="H176">
        <f t="shared" si="2"/>
        <v>158</v>
      </c>
    </row>
    <row r="177" spans="1:8" x14ac:dyDescent="0.25">
      <c r="A177" s="1">
        <v>45467</v>
      </c>
      <c r="B177" s="2" t="s">
        <v>15</v>
      </c>
      <c r="C177" s="2" t="s">
        <v>8</v>
      </c>
      <c r="D177">
        <v>365</v>
      </c>
      <c r="E177">
        <v>636</v>
      </c>
      <c r="F177" s="2" t="s">
        <v>20</v>
      </c>
      <c r="G177">
        <v>2024</v>
      </c>
      <c r="H177">
        <f t="shared" si="2"/>
        <v>-271</v>
      </c>
    </row>
    <row r="178" spans="1:8" x14ac:dyDescent="0.25">
      <c r="A178" s="1">
        <v>45468</v>
      </c>
      <c r="B178" s="2" t="s">
        <v>12</v>
      </c>
      <c r="C178" s="2" t="s">
        <v>8</v>
      </c>
      <c r="D178">
        <v>544</v>
      </c>
      <c r="E178">
        <v>128</v>
      </c>
      <c r="F178" s="2" t="s">
        <v>20</v>
      </c>
      <c r="G178">
        <v>2024</v>
      </c>
      <c r="H178">
        <f t="shared" si="2"/>
        <v>416</v>
      </c>
    </row>
    <row r="179" spans="1:8" x14ac:dyDescent="0.25">
      <c r="A179" s="1">
        <v>45469</v>
      </c>
      <c r="B179" s="2" t="s">
        <v>7</v>
      </c>
      <c r="C179" s="2" t="s">
        <v>8</v>
      </c>
      <c r="D179">
        <v>0</v>
      </c>
      <c r="E179">
        <v>634</v>
      </c>
      <c r="F179" s="2" t="s">
        <v>20</v>
      </c>
      <c r="G179">
        <v>2024</v>
      </c>
      <c r="H179">
        <f t="shared" si="2"/>
        <v>-634</v>
      </c>
    </row>
    <row r="180" spans="1:8" x14ac:dyDescent="0.25">
      <c r="A180" s="1">
        <v>45470</v>
      </c>
      <c r="B180" s="2" t="s">
        <v>15</v>
      </c>
      <c r="C180" s="2" t="s">
        <v>11</v>
      </c>
      <c r="D180">
        <v>723</v>
      </c>
      <c r="E180">
        <v>249</v>
      </c>
      <c r="F180" s="2" t="s">
        <v>20</v>
      </c>
      <c r="G180">
        <v>2024</v>
      </c>
      <c r="H180">
        <f t="shared" si="2"/>
        <v>474</v>
      </c>
    </row>
    <row r="181" spans="1:8" x14ac:dyDescent="0.25">
      <c r="A181" s="1">
        <v>45471</v>
      </c>
      <c r="B181" s="2" t="s">
        <v>15</v>
      </c>
      <c r="C181" s="2" t="s">
        <v>8</v>
      </c>
      <c r="D181">
        <v>519</v>
      </c>
      <c r="E181">
        <v>183</v>
      </c>
      <c r="F181" s="2" t="s">
        <v>20</v>
      </c>
      <c r="G181">
        <v>2024</v>
      </c>
      <c r="H181">
        <f t="shared" si="2"/>
        <v>336</v>
      </c>
    </row>
    <row r="182" spans="1:8" x14ac:dyDescent="0.25">
      <c r="A182" s="1">
        <v>45472</v>
      </c>
      <c r="B182" s="2" t="s">
        <v>10</v>
      </c>
      <c r="C182" s="2" t="s">
        <v>8</v>
      </c>
      <c r="D182">
        <v>439</v>
      </c>
      <c r="E182">
        <v>609</v>
      </c>
      <c r="F182" s="2" t="s">
        <v>20</v>
      </c>
      <c r="G182">
        <v>2024</v>
      </c>
      <c r="H182">
        <f t="shared" si="2"/>
        <v>-170</v>
      </c>
    </row>
    <row r="183" spans="1:8" x14ac:dyDescent="0.25">
      <c r="A183" s="1">
        <v>45473</v>
      </c>
      <c r="B183" s="2" t="s">
        <v>7</v>
      </c>
      <c r="C183" s="2" t="s">
        <v>14</v>
      </c>
      <c r="D183">
        <v>-100</v>
      </c>
      <c r="E183">
        <v>749</v>
      </c>
      <c r="F183" s="2" t="s">
        <v>20</v>
      </c>
      <c r="G183">
        <v>2024</v>
      </c>
      <c r="H183">
        <f t="shared" si="2"/>
        <v>-849</v>
      </c>
    </row>
    <row r="184" spans="1:8" x14ac:dyDescent="0.25">
      <c r="A184" s="1">
        <v>45474</v>
      </c>
      <c r="B184" s="2" t="s">
        <v>10</v>
      </c>
      <c r="C184" s="2" t="s">
        <v>8</v>
      </c>
      <c r="D184">
        <v>374</v>
      </c>
      <c r="E184">
        <v>220</v>
      </c>
      <c r="F184" s="2" t="s">
        <v>21</v>
      </c>
      <c r="G184">
        <v>2024</v>
      </c>
      <c r="H184">
        <f t="shared" si="2"/>
        <v>154</v>
      </c>
    </row>
    <row r="185" spans="1:8" x14ac:dyDescent="0.25">
      <c r="A185" s="1">
        <v>45475</v>
      </c>
      <c r="B185" s="2" t="s">
        <v>15</v>
      </c>
      <c r="C185" s="2" t="s">
        <v>11</v>
      </c>
      <c r="D185">
        <v>0</v>
      </c>
      <c r="E185">
        <v>501</v>
      </c>
      <c r="F185" s="2" t="s">
        <v>21</v>
      </c>
      <c r="G185">
        <v>2024</v>
      </c>
      <c r="H185">
        <f t="shared" si="2"/>
        <v>-501</v>
      </c>
    </row>
    <row r="186" spans="1:8" x14ac:dyDescent="0.25">
      <c r="A186" s="1">
        <v>45476</v>
      </c>
      <c r="B186" s="2" t="s">
        <v>10</v>
      </c>
      <c r="C186" s="2" t="s">
        <v>8</v>
      </c>
      <c r="D186">
        <v>942</v>
      </c>
      <c r="E186">
        <v>188</v>
      </c>
      <c r="F186" s="2" t="s">
        <v>21</v>
      </c>
      <c r="G186">
        <v>2024</v>
      </c>
      <c r="H186">
        <f t="shared" si="2"/>
        <v>754</v>
      </c>
    </row>
    <row r="187" spans="1:8" x14ac:dyDescent="0.25">
      <c r="A187" s="1">
        <v>45477</v>
      </c>
      <c r="B187" s="2" t="s">
        <v>7</v>
      </c>
      <c r="C187" s="2" t="s">
        <v>8</v>
      </c>
      <c r="D187">
        <v>326</v>
      </c>
      <c r="E187">
        <v>363</v>
      </c>
      <c r="F187" s="2" t="s">
        <v>21</v>
      </c>
      <c r="G187">
        <v>2024</v>
      </c>
      <c r="H187">
        <f t="shared" si="2"/>
        <v>-37</v>
      </c>
    </row>
    <row r="188" spans="1:8" x14ac:dyDescent="0.25">
      <c r="A188" s="1">
        <v>45478</v>
      </c>
      <c r="B188" s="2" t="s">
        <v>7</v>
      </c>
      <c r="C188" s="2" t="s">
        <v>14</v>
      </c>
      <c r="D188">
        <v>325</v>
      </c>
      <c r="E188">
        <v>525</v>
      </c>
      <c r="F188" s="2" t="s">
        <v>21</v>
      </c>
      <c r="G188">
        <v>2024</v>
      </c>
      <c r="H188">
        <f t="shared" si="2"/>
        <v>-200</v>
      </c>
    </row>
    <row r="189" spans="1:8" x14ac:dyDescent="0.25">
      <c r="A189" s="1">
        <v>45479</v>
      </c>
      <c r="B189" s="2" t="s">
        <v>15</v>
      </c>
      <c r="C189" s="2" t="s">
        <v>14</v>
      </c>
      <c r="D189">
        <v>743</v>
      </c>
      <c r="E189">
        <v>395</v>
      </c>
      <c r="F189" s="2" t="s">
        <v>21</v>
      </c>
      <c r="G189">
        <v>2024</v>
      </c>
      <c r="H189">
        <f t="shared" si="2"/>
        <v>348</v>
      </c>
    </row>
    <row r="190" spans="1:8" x14ac:dyDescent="0.25">
      <c r="A190" s="1">
        <v>45480</v>
      </c>
      <c r="B190" s="2" t="s">
        <v>7</v>
      </c>
      <c r="C190" s="2" t="s">
        <v>8</v>
      </c>
      <c r="D190">
        <v>328</v>
      </c>
      <c r="E190">
        <v>437</v>
      </c>
      <c r="F190" s="2" t="s">
        <v>21</v>
      </c>
      <c r="G190">
        <v>2024</v>
      </c>
      <c r="H190">
        <f t="shared" si="2"/>
        <v>-109</v>
      </c>
    </row>
    <row r="191" spans="1:8" x14ac:dyDescent="0.25">
      <c r="A191" s="1">
        <v>45481</v>
      </c>
      <c r="B191" s="2" t="s">
        <v>15</v>
      </c>
      <c r="C191" s="2" t="s">
        <v>8</v>
      </c>
      <c r="D191">
        <v>926</v>
      </c>
      <c r="E191">
        <v>175</v>
      </c>
      <c r="F191" s="2" t="s">
        <v>21</v>
      </c>
      <c r="G191">
        <v>2024</v>
      </c>
      <c r="H191">
        <f t="shared" si="2"/>
        <v>751</v>
      </c>
    </row>
    <row r="192" spans="1:8" x14ac:dyDescent="0.25">
      <c r="A192" s="1">
        <v>45482</v>
      </c>
      <c r="B192" s="2" t="s">
        <v>10</v>
      </c>
      <c r="C192" s="2" t="s">
        <v>11</v>
      </c>
      <c r="D192">
        <v>997</v>
      </c>
      <c r="E192">
        <v>768</v>
      </c>
      <c r="F192" s="2" t="s">
        <v>21</v>
      </c>
      <c r="G192">
        <v>2024</v>
      </c>
      <c r="H192">
        <f t="shared" si="2"/>
        <v>229</v>
      </c>
    </row>
    <row r="193" spans="1:8" x14ac:dyDescent="0.25">
      <c r="A193" s="1">
        <v>45483</v>
      </c>
      <c r="B193" s="2" t="s">
        <v>15</v>
      </c>
      <c r="C193" s="2" t="s">
        <v>13</v>
      </c>
      <c r="D193">
        <v>469</v>
      </c>
      <c r="E193">
        <v>247</v>
      </c>
      <c r="F193" s="2" t="s">
        <v>21</v>
      </c>
      <c r="G193">
        <v>2024</v>
      </c>
      <c r="H193">
        <f t="shared" si="2"/>
        <v>222</v>
      </c>
    </row>
    <row r="194" spans="1:8" x14ac:dyDescent="0.25">
      <c r="A194" s="1">
        <v>45484</v>
      </c>
      <c r="B194" s="2" t="s">
        <v>15</v>
      </c>
      <c r="C194" s="2" t="s">
        <v>13</v>
      </c>
      <c r="D194">
        <v>228</v>
      </c>
      <c r="E194">
        <v>748</v>
      </c>
      <c r="F194" s="2" t="s">
        <v>21</v>
      </c>
      <c r="G194">
        <v>2024</v>
      </c>
      <c r="H194">
        <f t="shared" ref="H194:H206" si="3">D194-E194</f>
        <v>-520</v>
      </c>
    </row>
    <row r="195" spans="1:8" x14ac:dyDescent="0.25">
      <c r="A195" s="1">
        <v>45485</v>
      </c>
      <c r="B195" s="2" t="s">
        <v>10</v>
      </c>
      <c r="C195" s="2" t="s">
        <v>8</v>
      </c>
      <c r="D195">
        <v>907</v>
      </c>
      <c r="E195">
        <v>67</v>
      </c>
      <c r="F195" s="2" t="s">
        <v>21</v>
      </c>
      <c r="G195">
        <v>2024</v>
      </c>
      <c r="H195">
        <f t="shared" si="3"/>
        <v>840</v>
      </c>
    </row>
    <row r="196" spans="1:8" x14ac:dyDescent="0.25">
      <c r="A196" s="1">
        <v>45486</v>
      </c>
      <c r="B196" s="2" t="s">
        <v>7</v>
      </c>
      <c r="C196" s="2" t="s">
        <v>13</v>
      </c>
      <c r="D196">
        <v>124</v>
      </c>
      <c r="E196">
        <v>759</v>
      </c>
      <c r="F196" s="2" t="s">
        <v>21</v>
      </c>
      <c r="G196">
        <v>2024</v>
      </c>
      <c r="H196">
        <f t="shared" si="3"/>
        <v>-635</v>
      </c>
    </row>
    <row r="197" spans="1:8" x14ac:dyDescent="0.25">
      <c r="A197" s="1">
        <v>45487</v>
      </c>
      <c r="B197" s="2" t="s">
        <v>7</v>
      </c>
      <c r="C197" s="2" t="s">
        <v>13</v>
      </c>
      <c r="D197">
        <v>798</v>
      </c>
      <c r="E197">
        <v>497</v>
      </c>
      <c r="F197" s="2" t="s">
        <v>21</v>
      </c>
      <c r="G197">
        <v>2024</v>
      </c>
      <c r="H197">
        <f t="shared" si="3"/>
        <v>301</v>
      </c>
    </row>
    <row r="198" spans="1:8" x14ac:dyDescent="0.25">
      <c r="A198" s="1">
        <v>45488</v>
      </c>
      <c r="B198" s="2" t="s">
        <v>7</v>
      </c>
      <c r="C198" s="2" t="s">
        <v>13</v>
      </c>
      <c r="D198">
        <v>392</v>
      </c>
      <c r="E198">
        <v>400</v>
      </c>
      <c r="F198" s="2" t="s">
        <v>21</v>
      </c>
      <c r="G198">
        <v>2024</v>
      </c>
      <c r="H198">
        <f t="shared" si="3"/>
        <v>-8</v>
      </c>
    </row>
    <row r="199" spans="1:8" x14ac:dyDescent="0.25">
      <c r="A199" s="1">
        <v>45489</v>
      </c>
      <c r="B199" s="2" t="s">
        <v>12</v>
      </c>
      <c r="C199" s="2" t="s">
        <v>11</v>
      </c>
      <c r="D199">
        <v>455</v>
      </c>
      <c r="E199">
        <v>714</v>
      </c>
      <c r="F199" s="2" t="s">
        <v>21</v>
      </c>
      <c r="G199">
        <v>2024</v>
      </c>
      <c r="H199">
        <f t="shared" si="3"/>
        <v>-259</v>
      </c>
    </row>
    <row r="200" spans="1:8" x14ac:dyDescent="0.25">
      <c r="A200" s="1">
        <v>45490</v>
      </c>
      <c r="B200" s="2" t="s">
        <v>15</v>
      </c>
      <c r="C200" s="2" t="s">
        <v>11</v>
      </c>
      <c r="D200">
        <v>937</v>
      </c>
      <c r="E200">
        <v>693</v>
      </c>
      <c r="F200" s="2" t="s">
        <v>21</v>
      </c>
      <c r="G200">
        <v>2024</v>
      </c>
      <c r="H200">
        <f t="shared" si="3"/>
        <v>244</v>
      </c>
    </row>
    <row r="201" spans="1:8" x14ac:dyDescent="0.25">
      <c r="A201" s="1">
        <v>45491</v>
      </c>
      <c r="B201" s="2" t="s">
        <v>7</v>
      </c>
      <c r="C201" s="2" t="s">
        <v>8</v>
      </c>
      <c r="D201">
        <v>234</v>
      </c>
      <c r="E201">
        <v>375</v>
      </c>
      <c r="F201" s="2" t="s">
        <v>21</v>
      </c>
      <c r="G201">
        <v>2024</v>
      </c>
      <c r="H201">
        <f t="shared" si="3"/>
        <v>-141</v>
      </c>
    </row>
    <row r="202" spans="1:8" x14ac:dyDescent="0.25">
      <c r="A202" s="1">
        <v>45303</v>
      </c>
      <c r="B202" s="2" t="s">
        <v>15</v>
      </c>
      <c r="C202" s="2" t="s">
        <v>13</v>
      </c>
      <c r="D202">
        <v>957</v>
      </c>
      <c r="E202">
        <v>487</v>
      </c>
      <c r="F202" s="2" t="s">
        <v>9</v>
      </c>
      <c r="G202">
        <v>2024</v>
      </c>
      <c r="H202">
        <f t="shared" si="3"/>
        <v>470</v>
      </c>
    </row>
    <row r="203" spans="1:8" x14ac:dyDescent="0.25">
      <c r="A203" s="1">
        <v>45433</v>
      </c>
      <c r="B203" s="2" t="s">
        <v>10</v>
      </c>
      <c r="C203" s="2" t="s">
        <v>14</v>
      </c>
      <c r="D203">
        <v>797</v>
      </c>
      <c r="E203">
        <v>221</v>
      </c>
      <c r="F203" s="2" t="s">
        <v>19</v>
      </c>
      <c r="G203">
        <v>2024</v>
      </c>
      <c r="H203">
        <f t="shared" si="3"/>
        <v>576</v>
      </c>
    </row>
    <row r="204" spans="1:8" x14ac:dyDescent="0.25">
      <c r="A204" s="1">
        <v>45300</v>
      </c>
      <c r="B204" s="2" t="s">
        <v>12</v>
      </c>
      <c r="C204" s="2" t="s">
        <v>14</v>
      </c>
      <c r="D204">
        <v>274</v>
      </c>
      <c r="E204">
        <v>298</v>
      </c>
      <c r="F204" s="2" t="s">
        <v>9</v>
      </c>
      <c r="G204">
        <v>2024</v>
      </c>
      <c r="H204">
        <f t="shared" si="3"/>
        <v>-24</v>
      </c>
    </row>
    <row r="205" spans="1:8" x14ac:dyDescent="0.25">
      <c r="A205" s="1">
        <v>45361</v>
      </c>
      <c r="B205" s="2" t="s">
        <v>7</v>
      </c>
      <c r="C205" s="2" t="s">
        <v>8</v>
      </c>
      <c r="D205">
        <v>104</v>
      </c>
      <c r="E205">
        <v>752</v>
      </c>
      <c r="F205" s="2" t="s">
        <v>17</v>
      </c>
      <c r="G205">
        <v>2024</v>
      </c>
      <c r="H205">
        <f t="shared" si="3"/>
        <v>-648</v>
      </c>
    </row>
    <row r="206" spans="1:8" x14ac:dyDescent="0.25">
      <c r="A206" s="1">
        <v>45386</v>
      </c>
      <c r="B206" s="2" t="s">
        <v>10</v>
      </c>
      <c r="C206" s="2" t="s">
        <v>14</v>
      </c>
      <c r="D206">
        <v>153</v>
      </c>
      <c r="E206">
        <v>377</v>
      </c>
      <c r="F206" s="2" t="s">
        <v>18</v>
      </c>
      <c r="G206">
        <v>2024</v>
      </c>
      <c r="H206">
        <f t="shared" si="3"/>
        <v>-224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418E5-30AB-40FA-B974-BB3EAE9F7FAB}">
  <dimension ref="A1:I9"/>
  <sheetViews>
    <sheetView workbookViewId="0">
      <selection activeCell="Q22" sqref="Q22"/>
    </sheetView>
  </sheetViews>
  <sheetFormatPr defaultRowHeight="15" x14ac:dyDescent="0.25"/>
  <cols>
    <col min="1" max="1" width="23.42578125" customWidth="1"/>
    <col min="2" max="2" width="12.5703125" bestFit="1" customWidth="1"/>
    <col min="4" max="4" width="13.42578125" bestFit="1" customWidth="1"/>
    <col min="5" max="5" width="12.5703125" bestFit="1" customWidth="1"/>
    <col min="8" max="8" width="13.42578125" bestFit="1" customWidth="1"/>
    <col min="9" max="9" width="12.5703125" bestFit="1" customWidth="1"/>
  </cols>
  <sheetData>
    <row r="1" spans="1:9" x14ac:dyDescent="0.25">
      <c r="A1" s="3" t="s">
        <v>23</v>
      </c>
      <c r="B1" t="s">
        <v>25</v>
      </c>
      <c r="D1" s="3" t="s">
        <v>23</v>
      </c>
      <c r="E1" t="s">
        <v>25</v>
      </c>
      <c r="H1" s="3" t="s">
        <v>23</v>
      </c>
      <c r="I1" t="s">
        <v>25</v>
      </c>
    </row>
    <row r="2" spans="1:9" x14ac:dyDescent="0.25">
      <c r="A2" s="4" t="s">
        <v>15</v>
      </c>
      <c r="B2" s="2">
        <v>25846</v>
      </c>
      <c r="D2" s="4" t="s">
        <v>9</v>
      </c>
      <c r="E2" s="2">
        <v>17161</v>
      </c>
      <c r="H2" s="4" t="s">
        <v>14</v>
      </c>
      <c r="I2" s="2">
        <v>25274</v>
      </c>
    </row>
    <row r="3" spans="1:9" x14ac:dyDescent="0.25">
      <c r="A3" s="4" t="s">
        <v>7</v>
      </c>
      <c r="B3" s="2">
        <v>23869</v>
      </c>
      <c r="D3" s="4" t="s">
        <v>16</v>
      </c>
      <c r="E3" s="2">
        <v>14341</v>
      </c>
      <c r="H3" s="4" t="s">
        <v>8</v>
      </c>
      <c r="I3" s="2">
        <v>30551</v>
      </c>
    </row>
    <row r="4" spans="1:9" x14ac:dyDescent="0.25">
      <c r="A4" s="4" t="s">
        <v>12</v>
      </c>
      <c r="B4" s="2">
        <v>23908</v>
      </c>
      <c r="D4" s="4" t="s">
        <v>17</v>
      </c>
      <c r="E4" s="2">
        <v>18685</v>
      </c>
      <c r="H4" s="4" t="s">
        <v>11</v>
      </c>
      <c r="I4" s="2">
        <v>21392</v>
      </c>
    </row>
    <row r="5" spans="1:9" x14ac:dyDescent="0.25">
      <c r="A5" s="4" t="s">
        <v>10</v>
      </c>
      <c r="B5" s="2">
        <v>33724</v>
      </c>
      <c r="D5" s="4" t="s">
        <v>18</v>
      </c>
      <c r="E5" s="2">
        <v>17760</v>
      </c>
      <c r="H5" s="4" t="s">
        <v>13</v>
      </c>
      <c r="I5" s="2">
        <v>30130</v>
      </c>
    </row>
    <row r="6" spans="1:9" x14ac:dyDescent="0.25">
      <c r="A6" s="4" t="s">
        <v>24</v>
      </c>
      <c r="B6" s="2">
        <v>107347</v>
      </c>
      <c r="D6" s="4" t="s">
        <v>19</v>
      </c>
      <c r="E6" s="2">
        <v>15620</v>
      </c>
      <c r="H6" s="4" t="s">
        <v>24</v>
      </c>
      <c r="I6" s="2">
        <v>107347</v>
      </c>
    </row>
    <row r="7" spans="1:9" x14ac:dyDescent="0.25">
      <c r="D7" s="4" t="s">
        <v>20</v>
      </c>
      <c r="E7" s="2">
        <v>14275</v>
      </c>
    </row>
    <row r="8" spans="1:9" x14ac:dyDescent="0.25">
      <c r="D8" s="4" t="s">
        <v>21</v>
      </c>
      <c r="E8" s="2">
        <v>9505</v>
      </c>
    </row>
    <row r="9" spans="1:9" x14ac:dyDescent="0.25">
      <c r="D9" s="4" t="s">
        <v>24</v>
      </c>
      <c r="E9" s="2">
        <v>107347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471AC-105E-4A2A-BEE8-496D16465E8D}">
  <dimension ref="A1:B6"/>
  <sheetViews>
    <sheetView workbookViewId="0">
      <selection activeCell="D26" sqref="D26"/>
    </sheetView>
  </sheetViews>
  <sheetFormatPr defaultRowHeight="15" x14ac:dyDescent="0.25"/>
  <cols>
    <col min="1" max="1" width="57.85546875" customWidth="1"/>
    <col min="2" max="2" width="30.28515625" customWidth="1"/>
  </cols>
  <sheetData>
    <row r="1" spans="1:2" ht="31.5" x14ac:dyDescent="0.5">
      <c r="A1" s="5" t="s">
        <v>31</v>
      </c>
      <c r="B1" s="5" t="s">
        <v>32</v>
      </c>
    </row>
    <row r="2" spans="1:2" ht="31.5" x14ac:dyDescent="0.5">
      <c r="A2" s="5" t="s">
        <v>26</v>
      </c>
      <c r="B2" s="5">
        <f>SUM(cleaned!D170:D206)</f>
        <v>17408</v>
      </c>
    </row>
    <row r="3" spans="1:2" ht="31.5" x14ac:dyDescent="0.5">
      <c r="A3" s="5" t="s">
        <v>27</v>
      </c>
      <c r="B3" s="5">
        <f>SUM(cleaned!E170:E206)</f>
        <v>16767</v>
      </c>
    </row>
    <row r="4" spans="1:2" ht="31.5" x14ac:dyDescent="0.5">
      <c r="A4" s="5" t="s">
        <v>28</v>
      </c>
      <c r="B4" s="5">
        <f>SUM(cleaned!H170:H206)</f>
        <v>641</v>
      </c>
    </row>
    <row r="5" spans="1:2" ht="31.5" x14ac:dyDescent="0.5">
      <c r="A5" s="5" t="s">
        <v>29</v>
      </c>
      <c r="B5" s="6">
        <f>SUM(SUM(cleaned!H170:H206)/SUM(cleaned!D170:D206))</f>
        <v>3.6822150735294115E-2</v>
      </c>
    </row>
    <row r="6" spans="1:2" ht="31.5" x14ac:dyDescent="0.5">
      <c r="A6" s="5" t="s">
        <v>30</v>
      </c>
      <c r="B6" s="5">
        <f>COUNT(cleaned!A:A)</f>
        <v>205</v>
      </c>
    </row>
  </sheetData>
  <conditionalFormatting sqref="B1">
    <cfRule type="colorScale" priority="2">
      <colorScale>
        <cfvo type="min"/>
        <cfvo type="percentile" val="50"/>
        <cfvo type="max"/>
        <color rgb="FFF8696B"/>
        <color rgb="FFFFEB84"/>
        <color rgb="FF63BE7B"/>
      </colorScale>
    </cfRule>
  </conditionalFormatting>
  <conditionalFormatting sqref="B1:B6">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43DDA-011D-4C12-9DE5-5C2788186E89}">
  <dimension ref="A1:D4"/>
  <sheetViews>
    <sheetView workbookViewId="0">
      <selection activeCell="F15" sqref="F15"/>
    </sheetView>
  </sheetViews>
  <sheetFormatPr defaultRowHeight="15" x14ac:dyDescent="0.25"/>
  <cols>
    <col min="1" max="1" width="48.7109375" customWidth="1"/>
    <col min="2" max="2" width="32.85546875" customWidth="1"/>
    <col min="3" max="3" width="34.140625" customWidth="1"/>
    <col min="4" max="4" width="33" customWidth="1"/>
    <col min="5" max="11" width="9.140625" customWidth="1"/>
  </cols>
  <sheetData>
    <row r="1" spans="1:4" ht="46.5" x14ac:dyDescent="0.7">
      <c r="A1" s="10" t="s">
        <v>33</v>
      </c>
      <c r="B1" s="10" t="s">
        <v>35</v>
      </c>
      <c r="C1" s="10" t="s">
        <v>36</v>
      </c>
      <c r="D1" s="10" t="s">
        <v>37</v>
      </c>
    </row>
    <row r="2" spans="1:4" ht="46.5" x14ac:dyDescent="0.7">
      <c r="A2" s="10" t="s">
        <v>26</v>
      </c>
      <c r="B2" s="10">
        <f>SUM('Raw Data'!D2:D206)</f>
        <v>107347</v>
      </c>
      <c r="C2" s="10">
        <f>SUM(query[Sales])</f>
        <v>107347</v>
      </c>
      <c r="D2" s="10">
        <v>0</v>
      </c>
    </row>
    <row r="3" spans="1:4" ht="46.5" x14ac:dyDescent="0.7">
      <c r="A3" s="10" t="s">
        <v>27</v>
      </c>
      <c r="B3" s="10">
        <f>SUM('Raw Data'!E2:E206)</f>
        <v>92259</v>
      </c>
      <c r="C3" s="10">
        <f>SUM(query[Cost])</f>
        <v>92259</v>
      </c>
      <c r="D3" s="10">
        <v>0</v>
      </c>
    </row>
    <row r="4" spans="1:4" ht="46.5" x14ac:dyDescent="0.7">
      <c r="A4" s="10" t="s">
        <v>34</v>
      </c>
      <c r="B4" s="10">
        <f>COUNT('Raw Data'!A:A)</f>
        <v>205</v>
      </c>
      <c r="C4" s="10">
        <f>COUNT(cleaned!A:A)</f>
        <v>205</v>
      </c>
      <c r="D4" s="10">
        <v>0</v>
      </c>
    </row>
  </sheetData>
  <phoneticPr fontId="2" type="noConversion"/>
  <conditionalFormatting sqref="F14">
    <cfRule type="colorScale" priority="2">
      <colorScale>
        <cfvo type="min"/>
        <cfvo type="percentile" val="50"/>
        <cfvo type="max"/>
        <color rgb="FFF8696B"/>
        <color rgb="FFFFEB84"/>
        <color rgb="FF63BE7B"/>
      </colorScale>
    </cfRule>
  </conditionalFormatting>
  <conditionalFormatting sqref="D1:D4">
    <cfRule type="colorScale" priority="1">
      <colorScale>
        <cfvo type="min"/>
        <cfvo type="percentile" val="50"/>
        <cfvo type="max"/>
        <color rgb="FFF8696B"/>
        <color rgb="FFFFEB84"/>
        <color rgb="FF63BE7B"/>
      </colorScale>
    </cfRule>
  </conditionalFormatting>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503D1-FEA7-4DB8-94B7-4D9135BE6D88}">
  <dimension ref="A1:H25"/>
  <sheetViews>
    <sheetView workbookViewId="0">
      <selection activeCell="K12" sqref="K12"/>
    </sheetView>
  </sheetViews>
  <sheetFormatPr defaultRowHeight="15" x14ac:dyDescent="0.25"/>
  <cols>
    <col min="1" max="1" width="23.5703125" bestFit="1" customWidth="1"/>
    <col min="2" max="2" width="13.85546875" customWidth="1"/>
    <col min="3" max="3" width="15.28515625" customWidth="1"/>
    <col min="4" max="4" width="14" customWidth="1"/>
    <col min="5" max="5" width="12.7109375" customWidth="1"/>
    <col min="6" max="6" width="16.42578125" customWidth="1"/>
    <col min="7" max="7" width="12" customWidth="1"/>
    <col min="8" max="8" width="32.42578125" customWidth="1"/>
  </cols>
  <sheetData>
    <row r="1" spans="1:8" ht="21" x14ac:dyDescent="0.35">
      <c r="A1" s="7" t="s">
        <v>0</v>
      </c>
      <c r="B1" s="7" t="s">
        <v>1</v>
      </c>
      <c r="C1" s="7" t="s">
        <v>2</v>
      </c>
      <c r="D1" s="7" t="s">
        <v>3</v>
      </c>
      <c r="E1" s="7" t="s">
        <v>4</v>
      </c>
      <c r="F1" s="7" t="s">
        <v>5</v>
      </c>
      <c r="G1" s="7" t="s">
        <v>6</v>
      </c>
      <c r="H1" s="7" t="s">
        <v>38</v>
      </c>
    </row>
    <row r="2" spans="1:8" ht="21" x14ac:dyDescent="0.35">
      <c r="A2" s="8">
        <v>45350</v>
      </c>
      <c r="B2" s="9" t="s">
        <v>7</v>
      </c>
      <c r="C2" s="9" t="s">
        <v>14</v>
      </c>
      <c r="D2" s="7"/>
      <c r="E2" s="7">
        <v>182</v>
      </c>
      <c r="F2" s="9" t="s">
        <v>16</v>
      </c>
      <c r="G2" s="7">
        <v>2024</v>
      </c>
      <c r="H2" s="7" t="s">
        <v>39</v>
      </c>
    </row>
    <row r="3" spans="1:8" ht="21" x14ac:dyDescent="0.35">
      <c r="A3" s="8">
        <v>45389</v>
      </c>
      <c r="B3" s="9" t="s">
        <v>10</v>
      </c>
      <c r="C3" s="9" t="s">
        <v>11</v>
      </c>
      <c r="D3" s="7"/>
      <c r="E3" s="7">
        <v>735</v>
      </c>
      <c r="F3" s="9" t="s">
        <v>18</v>
      </c>
      <c r="G3" s="7">
        <v>2024</v>
      </c>
      <c r="H3" s="7" t="s">
        <v>39</v>
      </c>
    </row>
    <row r="4" spans="1:8" ht="21" x14ac:dyDescent="0.35">
      <c r="A4" s="8">
        <v>45427</v>
      </c>
      <c r="B4" s="9" t="s">
        <v>12</v>
      </c>
      <c r="C4" s="9" t="s">
        <v>8</v>
      </c>
      <c r="D4" s="7"/>
      <c r="E4" s="7">
        <v>759</v>
      </c>
      <c r="F4" s="9" t="s">
        <v>19</v>
      </c>
      <c r="G4" s="7">
        <v>2024</v>
      </c>
      <c r="H4" s="7" t="s">
        <v>39</v>
      </c>
    </row>
    <row r="5" spans="1:8" ht="21" x14ac:dyDescent="0.35">
      <c r="A5" s="8">
        <v>45438</v>
      </c>
      <c r="B5" s="9" t="s">
        <v>10</v>
      </c>
      <c r="C5" s="9" t="s">
        <v>14</v>
      </c>
      <c r="D5" s="7"/>
      <c r="E5" s="7">
        <v>654</v>
      </c>
      <c r="F5" s="9" t="s">
        <v>19</v>
      </c>
      <c r="G5" s="7">
        <v>2024</v>
      </c>
      <c r="H5" s="7" t="s">
        <v>39</v>
      </c>
    </row>
    <row r="6" spans="1:8" ht="21" x14ac:dyDescent="0.35">
      <c r="A6" s="8">
        <v>45444</v>
      </c>
      <c r="B6" s="9" t="s">
        <v>15</v>
      </c>
      <c r="C6" s="9" t="s">
        <v>8</v>
      </c>
      <c r="D6" s="7"/>
      <c r="E6" s="7">
        <v>150</v>
      </c>
      <c r="F6" s="9" t="s">
        <v>20</v>
      </c>
      <c r="G6" s="7">
        <v>2024</v>
      </c>
      <c r="H6" s="7" t="s">
        <v>39</v>
      </c>
    </row>
    <row r="7" spans="1:8" ht="21" x14ac:dyDescent="0.35">
      <c r="A7" s="8">
        <v>45456</v>
      </c>
      <c r="B7" s="9" t="s">
        <v>10</v>
      </c>
      <c r="C7" s="9" t="s">
        <v>14</v>
      </c>
      <c r="D7" s="7"/>
      <c r="E7" s="7">
        <v>479</v>
      </c>
      <c r="F7" s="9" t="s">
        <v>20</v>
      </c>
      <c r="G7" s="7">
        <v>2024</v>
      </c>
      <c r="H7" s="7" t="s">
        <v>39</v>
      </c>
    </row>
    <row r="8" spans="1:8" ht="21" x14ac:dyDescent="0.35">
      <c r="A8" s="8">
        <v>45460</v>
      </c>
      <c r="B8" s="9" t="s">
        <v>10</v>
      </c>
      <c r="C8" s="9" t="s">
        <v>8</v>
      </c>
      <c r="D8" s="7"/>
      <c r="E8" s="7">
        <v>169</v>
      </c>
      <c r="F8" s="9" t="s">
        <v>20</v>
      </c>
      <c r="G8" s="7">
        <v>2024</v>
      </c>
      <c r="H8" s="7" t="s">
        <v>39</v>
      </c>
    </row>
    <row r="9" spans="1:8" ht="21" x14ac:dyDescent="0.35">
      <c r="A9" s="8">
        <v>45469</v>
      </c>
      <c r="B9" s="9" t="s">
        <v>7</v>
      </c>
      <c r="C9" s="9" t="s">
        <v>8</v>
      </c>
      <c r="D9" s="7"/>
      <c r="E9" s="7">
        <v>634</v>
      </c>
      <c r="F9" s="9" t="s">
        <v>20</v>
      </c>
      <c r="G9" s="7">
        <v>2024</v>
      </c>
      <c r="H9" s="7" t="s">
        <v>39</v>
      </c>
    </row>
    <row r="10" spans="1:8" ht="21" x14ac:dyDescent="0.35">
      <c r="A10" s="8">
        <v>45475</v>
      </c>
      <c r="B10" s="9" t="s">
        <v>15</v>
      </c>
      <c r="C10" s="9" t="s">
        <v>11</v>
      </c>
      <c r="D10" s="7"/>
      <c r="E10" s="7">
        <v>501</v>
      </c>
      <c r="F10" s="9" t="s">
        <v>21</v>
      </c>
      <c r="G10" s="7">
        <v>2024</v>
      </c>
      <c r="H10" s="7" t="s">
        <v>39</v>
      </c>
    </row>
    <row r="11" spans="1:8" ht="21" x14ac:dyDescent="0.35">
      <c r="A11" s="8">
        <v>45338</v>
      </c>
      <c r="B11" s="9" t="s">
        <v>10</v>
      </c>
      <c r="C11" s="9" t="s">
        <v>8</v>
      </c>
      <c r="D11" s="7">
        <v>-100</v>
      </c>
      <c r="E11" s="7">
        <v>685</v>
      </c>
      <c r="F11" s="9" t="s">
        <v>16</v>
      </c>
      <c r="G11" s="7">
        <v>2024</v>
      </c>
      <c r="H11" s="7" t="s">
        <v>40</v>
      </c>
    </row>
    <row r="12" spans="1:8" ht="21" x14ac:dyDescent="0.35">
      <c r="A12" s="8">
        <v>45373</v>
      </c>
      <c r="B12" s="9" t="s">
        <v>10</v>
      </c>
      <c r="C12" s="9" t="s">
        <v>13</v>
      </c>
      <c r="D12" s="7">
        <v>-100</v>
      </c>
      <c r="E12" s="7">
        <v>424</v>
      </c>
      <c r="F12" s="9" t="s">
        <v>17</v>
      </c>
      <c r="G12" s="7">
        <v>2024</v>
      </c>
      <c r="H12" s="7" t="s">
        <v>40</v>
      </c>
    </row>
    <row r="13" spans="1:8" ht="21" x14ac:dyDescent="0.35">
      <c r="A13" s="8">
        <v>45419</v>
      </c>
      <c r="B13" s="9" t="s">
        <v>12</v>
      </c>
      <c r="C13" s="9" t="s">
        <v>13</v>
      </c>
      <c r="D13" s="7">
        <v>-100</v>
      </c>
      <c r="E13" s="7">
        <v>188</v>
      </c>
      <c r="F13" s="9" t="s">
        <v>19</v>
      </c>
      <c r="G13" s="7">
        <v>2024</v>
      </c>
      <c r="H13" s="7" t="s">
        <v>40</v>
      </c>
    </row>
    <row r="14" spans="1:8" ht="21" x14ac:dyDescent="0.35">
      <c r="A14" s="8">
        <v>45453</v>
      </c>
      <c r="B14" s="9" t="s">
        <v>15</v>
      </c>
      <c r="C14" s="9" t="s">
        <v>13</v>
      </c>
      <c r="D14" s="7">
        <v>-100</v>
      </c>
      <c r="E14" s="7">
        <v>442</v>
      </c>
      <c r="F14" s="9" t="s">
        <v>20</v>
      </c>
      <c r="G14" s="7">
        <v>2024</v>
      </c>
      <c r="H14" s="7" t="s">
        <v>40</v>
      </c>
    </row>
    <row r="15" spans="1:8" ht="21" x14ac:dyDescent="0.35">
      <c r="A15" s="8">
        <v>45473</v>
      </c>
      <c r="B15" s="9" t="s">
        <v>7</v>
      </c>
      <c r="C15" s="9" t="s">
        <v>14</v>
      </c>
      <c r="D15" s="7">
        <v>-100</v>
      </c>
      <c r="E15" s="7">
        <v>749</v>
      </c>
      <c r="F15" s="9" t="s">
        <v>20</v>
      </c>
      <c r="G15" s="7">
        <v>2024</v>
      </c>
      <c r="H15" s="7" t="s">
        <v>40</v>
      </c>
    </row>
    <row r="16" spans="1:8" ht="21" x14ac:dyDescent="0.35">
      <c r="A16" s="8">
        <v>45300</v>
      </c>
      <c r="B16" s="9" t="s">
        <v>12</v>
      </c>
      <c r="C16" s="9" t="s">
        <v>14</v>
      </c>
      <c r="D16" s="7">
        <v>274</v>
      </c>
      <c r="E16" s="7">
        <v>298</v>
      </c>
      <c r="F16" s="9" t="s">
        <v>9</v>
      </c>
      <c r="G16" s="7">
        <v>2024</v>
      </c>
      <c r="H16" s="7" t="s">
        <v>41</v>
      </c>
    </row>
    <row r="17" spans="1:8" ht="21" x14ac:dyDescent="0.35">
      <c r="A17" s="8">
        <v>45303</v>
      </c>
      <c r="B17" s="9" t="s">
        <v>15</v>
      </c>
      <c r="C17" s="9" t="s">
        <v>13</v>
      </c>
      <c r="D17" s="7">
        <v>957</v>
      </c>
      <c r="E17" s="7">
        <v>487</v>
      </c>
      <c r="F17" s="9" t="s">
        <v>9</v>
      </c>
      <c r="G17" s="7">
        <v>2024</v>
      </c>
      <c r="H17" s="7" t="s">
        <v>41</v>
      </c>
    </row>
    <row r="18" spans="1:8" ht="21" x14ac:dyDescent="0.35">
      <c r="A18" s="8">
        <v>45361</v>
      </c>
      <c r="B18" s="9" t="s">
        <v>7</v>
      </c>
      <c r="C18" s="9" t="s">
        <v>8</v>
      </c>
      <c r="D18" s="7">
        <v>104</v>
      </c>
      <c r="E18" s="7">
        <v>752</v>
      </c>
      <c r="F18" s="9" t="s">
        <v>17</v>
      </c>
      <c r="G18" s="7">
        <v>2024</v>
      </c>
      <c r="H18" s="7" t="s">
        <v>41</v>
      </c>
    </row>
    <row r="19" spans="1:8" ht="21" x14ac:dyDescent="0.35">
      <c r="A19" s="8">
        <v>45386</v>
      </c>
      <c r="B19" s="9" t="s">
        <v>10</v>
      </c>
      <c r="C19" s="9" t="s">
        <v>14</v>
      </c>
      <c r="D19" s="7">
        <v>153</v>
      </c>
      <c r="E19" s="7">
        <v>377</v>
      </c>
      <c r="F19" s="9" t="s">
        <v>18</v>
      </c>
      <c r="G19" s="7">
        <v>2024</v>
      </c>
      <c r="H19" s="7" t="s">
        <v>41</v>
      </c>
    </row>
    <row r="20" spans="1:8" ht="21" x14ac:dyDescent="0.35">
      <c r="A20" s="8">
        <v>45433</v>
      </c>
      <c r="B20" s="9" t="s">
        <v>10</v>
      </c>
      <c r="C20" s="9" t="s">
        <v>14</v>
      </c>
      <c r="D20" s="7">
        <v>797</v>
      </c>
      <c r="E20" s="7">
        <v>221</v>
      </c>
      <c r="F20" s="9" t="s">
        <v>19</v>
      </c>
      <c r="G20" s="7">
        <v>2024</v>
      </c>
      <c r="H20" s="7" t="s">
        <v>41</v>
      </c>
    </row>
    <row r="21" spans="1:8" ht="21" x14ac:dyDescent="0.35">
      <c r="A21" s="8">
        <v>45303</v>
      </c>
      <c r="B21" s="9" t="s">
        <v>15</v>
      </c>
      <c r="C21" s="9" t="s">
        <v>13</v>
      </c>
      <c r="D21" s="7">
        <v>957</v>
      </c>
      <c r="E21" s="7">
        <v>487</v>
      </c>
      <c r="F21" s="9" t="s">
        <v>9</v>
      </c>
      <c r="G21" s="7">
        <v>2024</v>
      </c>
      <c r="H21" s="7" t="s">
        <v>41</v>
      </c>
    </row>
    <row r="22" spans="1:8" ht="21" x14ac:dyDescent="0.35">
      <c r="A22" s="8">
        <v>45433</v>
      </c>
      <c r="B22" s="9" t="s">
        <v>10</v>
      </c>
      <c r="C22" s="9" t="s">
        <v>14</v>
      </c>
      <c r="D22" s="7">
        <v>797</v>
      </c>
      <c r="E22" s="7">
        <v>221</v>
      </c>
      <c r="F22" s="9" t="s">
        <v>19</v>
      </c>
      <c r="G22" s="7">
        <v>2024</v>
      </c>
      <c r="H22" s="7" t="s">
        <v>41</v>
      </c>
    </row>
    <row r="23" spans="1:8" ht="21" x14ac:dyDescent="0.35">
      <c r="A23" s="8">
        <v>45300</v>
      </c>
      <c r="B23" s="9" t="s">
        <v>12</v>
      </c>
      <c r="C23" s="9" t="s">
        <v>14</v>
      </c>
      <c r="D23" s="7">
        <v>274</v>
      </c>
      <c r="E23" s="7">
        <v>298</v>
      </c>
      <c r="F23" s="9" t="s">
        <v>9</v>
      </c>
      <c r="G23" s="7">
        <v>2024</v>
      </c>
      <c r="H23" s="7" t="s">
        <v>41</v>
      </c>
    </row>
    <row r="24" spans="1:8" ht="21" x14ac:dyDescent="0.35">
      <c r="A24" s="8">
        <v>45361</v>
      </c>
      <c r="B24" s="9" t="s">
        <v>7</v>
      </c>
      <c r="C24" s="9" t="s">
        <v>8</v>
      </c>
      <c r="D24" s="7">
        <v>104</v>
      </c>
      <c r="E24" s="7">
        <v>752</v>
      </c>
      <c r="F24" s="9" t="s">
        <v>17</v>
      </c>
      <c r="G24" s="7">
        <v>2024</v>
      </c>
      <c r="H24" s="7" t="s">
        <v>41</v>
      </c>
    </row>
    <row r="25" spans="1:8" ht="21" x14ac:dyDescent="0.35">
      <c r="A25" s="8">
        <v>45386</v>
      </c>
      <c r="B25" s="9" t="s">
        <v>10</v>
      </c>
      <c r="C25" s="9" t="s">
        <v>14</v>
      </c>
      <c r="D25" s="7">
        <v>153</v>
      </c>
      <c r="E25" s="7">
        <v>377</v>
      </c>
      <c r="F25" s="9" t="s">
        <v>18</v>
      </c>
      <c r="G25" s="7">
        <v>2024</v>
      </c>
      <c r="H25" s="7" t="s">
        <v>41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EE7CC-ED18-4784-B389-DA81C77EBB39}">
  <dimension ref="A1:H10"/>
  <sheetViews>
    <sheetView workbookViewId="0">
      <selection sqref="A1:H10"/>
    </sheetView>
  </sheetViews>
  <sheetFormatPr defaultRowHeight="15" x14ac:dyDescent="0.25"/>
  <cols>
    <col min="1" max="1" width="15.5703125" bestFit="1" customWidth="1"/>
    <col min="2" max="2" width="9.5703125" bestFit="1" customWidth="1"/>
    <col min="3" max="3" width="10.28515625" bestFit="1" customWidth="1"/>
    <col min="4" max="4" width="8.140625" bestFit="1" customWidth="1"/>
    <col min="5" max="5" width="7.5703125" bestFit="1" customWidth="1"/>
    <col min="6" max="6" width="9" bestFit="1" customWidth="1"/>
    <col min="7" max="7" width="7.28515625" bestFit="1" customWidth="1"/>
    <col min="8" max="8" width="13.140625" bestFit="1" customWidth="1"/>
  </cols>
  <sheetData>
    <row r="1" spans="1:8" x14ac:dyDescent="0.25">
      <c r="A1" t="s">
        <v>0</v>
      </c>
      <c r="B1" t="s">
        <v>1</v>
      </c>
      <c r="C1" t="s">
        <v>2</v>
      </c>
      <c r="D1" t="s">
        <v>3</v>
      </c>
      <c r="E1" t="s">
        <v>4</v>
      </c>
      <c r="F1" t="s">
        <v>5</v>
      </c>
      <c r="G1" t="s">
        <v>6</v>
      </c>
      <c r="H1" t="s">
        <v>38</v>
      </c>
    </row>
    <row r="2" spans="1:8" x14ac:dyDescent="0.25">
      <c r="A2" s="1">
        <v>45350</v>
      </c>
      <c r="B2" s="2" t="s">
        <v>7</v>
      </c>
      <c r="C2" s="2" t="s">
        <v>14</v>
      </c>
      <c r="E2">
        <v>182</v>
      </c>
      <c r="F2" s="2" t="s">
        <v>16</v>
      </c>
      <c r="G2">
        <v>2024</v>
      </c>
      <c r="H2" t="s">
        <v>39</v>
      </c>
    </row>
    <row r="3" spans="1:8" x14ac:dyDescent="0.25">
      <c r="A3" s="1">
        <v>45389</v>
      </c>
      <c r="B3" s="2" t="s">
        <v>10</v>
      </c>
      <c r="C3" s="2" t="s">
        <v>11</v>
      </c>
      <c r="E3">
        <v>735</v>
      </c>
      <c r="F3" s="2" t="s">
        <v>18</v>
      </c>
      <c r="G3">
        <v>2024</v>
      </c>
      <c r="H3" t="s">
        <v>39</v>
      </c>
    </row>
    <row r="4" spans="1:8" x14ac:dyDescent="0.25">
      <c r="A4" s="1">
        <v>45427</v>
      </c>
      <c r="B4" s="2" t="s">
        <v>12</v>
      </c>
      <c r="C4" s="2" t="s">
        <v>8</v>
      </c>
      <c r="E4">
        <v>759</v>
      </c>
      <c r="F4" s="2" t="s">
        <v>19</v>
      </c>
      <c r="G4">
        <v>2024</v>
      </c>
      <c r="H4" t="s">
        <v>39</v>
      </c>
    </row>
    <row r="5" spans="1:8" x14ac:dyDescent="0.25">
      <c r="A5" s="1">
        <v>45438</v>
      </c>
      <c r="B5" s="2" t="s">
        <v>10</v>
      </c>
      <c r="C5" s="2" t="s">
        <v>14</v>
      </c>
      <c r="E5">
        <v>654</v>
      </c>
      <c r="F5" s="2" t="s">
        <v>19</v>
      </c>
      <c r="G5">
        <v>2024</v>
      </c>
      <c r="H5" t="s">
        <v>39</v>
      </c>
    </row>
    <row r="6" spans="1:8" x14ac:dyDescent="0.25">
      <c r="A6" s="1">
        <v>45444</v>
      </c>
      <c r="B6" s="2" t="s">
        <v>15</v>
      </c>
      <c r="C6" s="2" t="s">
        <v>8</v>
      </c>
      <c r="E6">
        <v>150</v>
      </c>
      <c r="F6" s="2" t="s">
        <v>20</v>
      </c>
      <c r="G6">
        <v>2024</v>
      </c>
      <c r="H6" t="s">
        <v>39</v>
      </c>
    </row>
    <row r="7" spans="1:8" x14ac:dyDescent="0.25">
      <c r="A7" s="1">
        <v>45456</v>
      </c>
      <c r="B7" s="2" t="s">
        <v>10</v>
      </c>
      <c r="C7" s="2" t="s">
        <v>14</v>
      </c>
      <c r="E7">
        <v>479</v>
      </c>
      <c r="F7" s="2" t="s">
        <v>20</v>
      </c>
      <c r="G7">
        <v>2024</v>
      </c>
      <c r="H7" t="s">
        <v>39</v>
      </c>
    </row>
    <row r="8" spans="1:8" x14ac:dyDescent="0.25">
      <c r="A8" s="1">
        <v>45460</v>
      </c>
      <c r="B8" s="2" t="s">
        <v>10</v>
      </c>
      <c r="C8" s="2" t="s">
        <v>8</v>
      </c>
      <c r="E8">
        <v>169</v>
      </c>
      <c r="F8" s="2" t="s">
        <v>20</v>
      </c>
      <c r="G8">
        <v>2024</v>
      </c>
      <c r="H8" t="s">
        <v>39</v>
      </c>
    </row>
    <row r="9" spans="1:8" x14ac:dyDescent="0.25">
      <c r="A9" s="1">
        <v>45469</v>
      </c>
      <c r="B9" s="2" t="s">
        <v>7</v>
      </c>
      <c r="C9" s="2" t="s">
        <v>8</v>
      </c>
      <c r="E9">
        <v>634</v>
      </c>
      <c r="F9" s="2" t="s">
        <v>20</v>
      </c>
      <c r="G9">
        <v>2024</v>
      </c>
      <c r="H9" t="s">
        <v>39</v>
      </c>
    </row>
    <row r="10" spans="1:8" x14ac:dyDescent="0.25">
      <c r="A10" s="1">
        <v>45475</v>
      </c>
      <c r="B10" s="2" t="s">
        <v>15</v>
      </c>
      <c r="C10" s="2" t="s">
        <v>11</v>
      </c>
      <c r="E10">
        <v>501</v>
      </c>
      <c r="F10" s="2" t="s">
        <v>21</v>
      </c>
      <c r="G10">
        <v>2024</v>
      </c>
      <c r="H10" t="s">
        <v>39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CAC9-F612-403E-8DEB-FFAD56402874}">
  <dimension ref="A1:H6"/>
  <sheetViews>
    <sheetView workbookViewId="0"/>
  </sheetViews>
  <sheetFormatPr defaultRowHeight="15" x14ac:dyDescent="0.25"/>
  <cols>
    <col min="1" max="1" width="15.5703125" bestFit="1" customWidth="1"/>
    <col min="2" max="2" width="9.5703125" bestFit="1" customWidth="1"/>
    <col min="3" max="3" width="10.28515625" bestFit="1" customWidth="1"/>
    <col min="4" max="4" width="8.140625" bestFit="1" customWidth="1"/>
    <col min="5" max="5" width="7.5703125" bestFit="1" customWidth="1"/>
    <col min="6" max="6" width="9" bestFit="1" customWidth="1"/>
    <col min="7" max="7" width="7.28515625" bestFit="1" customWidth="1"/>
    <col min="8" max="8" width="13.85546875" bestFit="1" customWidth="1"/>
  </cols>
  <sheetData>
    <row r="1" spans="1:8" x14ac:dyDescent="0.25">
      <c r="A1" t="s">
        <v>0</v>
      </c>
      <c r="B1" t="s">
        <v>1</v>
      </c>
      <c r="C1" t="s">
        <v>2</v>
      </c>
      <c r="D1" t="s">
        <v>3</v>
      </c>
      <c r="E1" t="s">
        <v>4</v>
      </c>
      <c r="F1" t="s">
        <v>5</v>
      </c>
      <c r="G1" t="s">
        <v>6</v>
      </c>
      <c r="H1" t="s">
        <v>38</v>
      </c>
    </row>
    <row r="2" spans="1:8" x14ac:dyDescent="0.25">
      <c r="A2" s="1">
        <v>45338</v>
      </c>
      <c r="B2" s="2" t="s">
        <v>10</v>
      </c>
      <c r="C2" s="2" t="s">
        <v>8</v>
      </c>
      <c r="D2">
        <v>-100</v>
      </c>
      <c r="E2">
        <v>685</v>
      </c>
      <c r="F2" s="2" t="s">
        <v>16</v>
      </c>
      <c r="G2">
        <v>2024</v>
      </c>
      <c r="H2" t="s">
        <v>40</v>
      </c>
    </row>
    <row r="3" spans="1:8" x14ac:dyDescent="0.25">
      <c r="A3" s="1">
        <v>45373</v>
      </c>
      <c r="B3" s="2" t="s">
        <v>10</v>
      </c>
      <c r="C3" s="2" t="s">
        <v>13</v>
      </c>
      <c r="D3">
        <v>-100</v>
      </c>
      <c r="E3">
        <v>424</v>
      </c>
      <c r="F3" s="2" t="s">
        <v>17</v>
      </c>
      <c r="G3">
        <v>2024</v>
      </c>
      <c r="H3" t="s">
        <v>40</v>
      </c>
    </row>
    <row r="4" spans="1:8" x14ac:dyDescent="0.25">
      <c r="A4" s="1">
        <v>45419</v>
      </c>
      <c r="B4" s="2" t="s">
        <v>12</v>
      </c>
      <c r="C4" s="2" t="s">
        <v>13</v>
      </c>
      <c r="D4">
        <v>-100</v>
      </c>
      <c r="E4">
        <v>188</v>
      </c>
      <c r="F4" s="2" t="s">
        <v>19</v>
      </c>
      <c r="G4">
        <v>2024</v>
      </c>
      <c r="H4" t="s">
        <v>40</v>
      </c>
    </row>
    <row r="5" spans="1:8" x14ac:dyDescent="0.25">
      <c r="A5" s="1">
        <v>45453</v>
      </c>
      <c r="B5" s="2" t="s">
        <v>15</v>
      </c>
      <c r="C5" s="2" t="s">
        <v>13</v>
      </c>
      <c r="D5">
        <v>-100</v>
      </c>
      <c r="E5">
        <v>442</v>
      </c>
      <c r="F5" s="2" t="s">
        <v>20</v>
      </c>
      <c r="G5">
        <v>2024</v>
      </c>
      <c r="H5" t="s">
        <v>40</v>
      </c>
    </row>
    <row r="6" spans="1:8" x14ac:dyDescent="0.25">
      <c r="A6" s="1">
        <v>45473</v>
      </c>
      <c r="B6" s="2" t="s">
        <v>7</v>
      </c>
      <c r="C6" s="2" t="s">
        <v>14</v>
      </c>
      <c r="D6">
        <v>-100</v>
      </c>
      <c r="E6">
        <v>749</v>
      </c>
      <c r="F6" s="2" t="s">
        <v>20</v>
      </c>
      <c r="G6">
        <v>2024</v>
      </c>
      <c r="H6" t="s">
        <v>40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302EE-C867-4928-BED5-DB945D6AEAAC}">
  <dimension ref="A1:H11"/>
  <sheetViews>
    <sheetView workbookViewId="0">
      <selection sqref="A1:H11"/>
    </sheetView>
  </sheetViews>
  <sheetFormatPr defaultRowHeight="15" x14ac:dyDescent="0.25"/>
  <cols>
    <col min="1" max="1" width="15.5703125" bestFit="1" customWidth="1"/>
    <col min="2" max="2" width="9.5703125" bestFit="1" customWidth="1"/>
    <col min="3" max="3" width="10.28515625" bestFit="1" customWidth="1"/>
    <col min="4" max="4" width="8.140625" bestFit="1" customWidth="1"/>
    <col min="5" max="5" width="7.5703125" bestFit="1" customWidth="1"/>
    <col min="6" max="6" width="9" bestFit="1" customWidth="1"/>
    <col min="7" max="7" width="7.28515625" bestFit="1" customWidth="1"/>
    <col min="8" max="8" width="12.5703125" bestFit="1" customWidth="1"/>
  </cols>
  <sheetData>
    <row r="1" spans="1:8" x14ac:dyDescent="0.25">
      <c r="A1" t="s">
        <v>0</v>
      </c>
      <c r="B1" t="s">
        <v>1</v>
      </c>
      <c r="C1" t="s">
        <v>2</v>
      </c>
      <c r="D1" t="s">
        <v>3</v>
      </c>
      <c r="E1" t="s">
        <v>4</v>
      </c>
      <c r="F1" t="s">
        <v>5</v>
      </c>
      <c r="G1" t="s">
        <v>6</v>
      </c>
      <c r="H1" t="s">
        <v>38</v>
      </c>
    </row>
    <row r="2" spans="1:8" x14ac:dyDescent="0.25">
      <c r="A2" s="1">
        <v>45300</v>
      </c>
      <c r="B2" s="2" t="s">
        <v>12</v>
      </c>
      <c r="C2" s="2" t="s">
        <v>14</v>
      </c>
      <c r="D2">
        <v>274</v>
      </c>
      <c r="E2">
        <v>298</v>
      </c>
      <c r="F2" s="2" t="s">
        <v>9</v>
      </c>
      <c r="G2">
        <v>2024</v>
      </c>
      <c r="H2" t="s">
        <v>41</v>
      </c>
    </row>
    <row r="3" spans="1:8" x14ac:dyDescent="0.25">
      <c r="A3" s="1">
        <v>45303</v>
      </c>
      <c r="B3" s="2" t="s">
        <v>15</v>
      </c>
      <c r="C3" s="2" t="s">
        <v>13</v>
      </c>
      <c r="D3">
        <v>957</v>
      </c>
      <c r="E3">
        <v>487</v>
      </c>
      <c r="F3" s="2" t="s">
        <v>9</v>
      </c>
      <c r="G3">
        <v>2024</v>
      </c>
      <c r="H3" t="s">
        <v>41</v>
      </c>
    </row>
    <row r="4" spans="1:8" x14ac:dyDescent="0.25">
      <c r="A4" s="1">
        <v>45361</v>
      </c>
      <c r="B4" s="2" t="s">
        <v>7</v>
      </c>
      <c r="C4" s="2" t="s">
        <v>8</v>
      </c>
      <c r="D4">
        <v>104</v>
      </c>
      <c r="E4">
        <v>752</v>
      </c>
      <c r="F4" s="2" t="s">
        <v>17</v>
      </c>
      <c r="G4">
        <v>2024</v>
      </c>
      <c r="H4" t="s">
        <v>41</v>
      </c>
    </row>
    <row r="5" spans="1:8" x14ac:dyDescent="0.25">
      <c r="A5" s="1">
        <v>45386</v>
      </c>
      <c r="B5" s="2" t="s">
        <v>10</v>
      </c>
      <c r="C5" s="2" t="s">
        <v>14</v>
      </c>
      <c r="D5">
        <v>153</v>
      </c>
      <c r="E5">
        <v>377</v>
      </c>
      <c r="F5" s="2" t="s">
        <v>18</v>
      </c>
      <c r="G5">
        <v>2024</v>
      </c>
      <c r="H5" t="s">
        <v>41</v>
      </c>
    </row>
    <row r="6" spans="1:8" x14ac:dyDescent="0.25">
      <c r="A6" s="1">
        <v>45433</v>
      </c>
      <c r="B6" s="2" t="s">
        <v>10</v>
      </c>
      <c r="C6" s="2" t="s">
        <v>14</v>
      </c>
      <c r="D6">
        <v>797</v>
      </c>
      <c r="E6">
        <v>221</v>
      </c>
      <c r="F6" s="2" t="s">
        <v>19</v>
      </c>
      <c r="G6">
        <v>2024</v>
      </c>
      <c r="H6" t="s">
        <v>41</v>
      </c>
    </row>
    <row r="7" spans="1:8" x14ac:dyDescent="0.25">
      <c r="A7" s="1">
        <v>45303</v>
      </c>
      <c r="B7" s="2" t="s">
        <v>15</v>
      </c>
      <c r="C7" s="2" t="s">
        <v>13</v>
      </c>
      <c r="D7">
        <v>957</v>
      </c>
      <c r="E7">
        <v>487</v>
      </c>
      <c r="F7" s="2" t="s">
        <v>9</v>
      </c>
      <c r="G7">
        <v>2024</v>
      </c>
      <c r="H7" t="s">
        <v>41</v>
      </c>
    </row>
    <row r="8" spans="1:8" x14ac:dyDescent="0.25">
      <c r="A8" s="1">
        <v>45433</v>
      </c>
      <c r="B8" s="2" t="s">
        <v>10</v>
      </c>
      <c r="C8" s="2" t="s">
        <v>14</v>
      </c>
      <c r="D8">
        <v>797</v>
      </c>
      <c r="E8">
        <v>221</v>
      </c>
      <c r="F8" s="2" t="s">
        <v>19</v>
      </c>
      <c r="G8">
        <v>2024</v>
      </c>
      <c r="H8" t="s">
        <v>41</v>
      </c>
    </row>
    <row r="9" spans="1:8" x14ac:dyDescent="0.25">
      <c r="A9" s="1">
        <v>45300</v>
      </c>
      <c r="B9" s="2" t="s">
        <v>12</v>
      </c>
      <c r="C9" s="2" t="s">
        <v>14</v>
      </c>
      <c r="D9">
        <v>274</v>
      </c>
      <c r="E9">
        <v>298</v>
      </c>
      <c r="F9" s="2" t="s">
        <v>9</v>
      </c>
      <c r="G9">
        <v>2024</v>
      </c>
      <c r="H9" t="s">
        <v>41</v>
      </c>
    </row>
    <row r="10" spans="1:8" x14ac:dyDescent="0.25">
      <c r="A10" s="1">
        <v>45361</v>
      </c>
      <c r="B10" s="2" t="s">
        <v>7</v>
      </c>
      <c r="C10" s="2" t="s">
        <v>8</v>
      </c>
      <c r="D10">
        <v>104</v>
      </c>
      <c r="E10">
        <v>752</v>
      </c>
      <c r="F10" s="2" t="s">
        <v>17</v>
      </c>
      <c r="G10">
        <v>2024</v>
      </c>
      <c r="H10" t="s">
        <v>41</v>
      </c>
    </row>
    <row r="11" spans="1:8" x14ac:dyDescent="0.25">
      <c r="A11" s="1">
        <v>45386</v>
      </c>
      <c r="B11" s="2" t="s">
        <v>10</v>
      </c>
      <c r="C11" s="2" t="s">
        <v>14</v>
      </c>
      <c r="D11">
        <v>153</v>
      </c>
      <c r="E11">
        <v>377</v>
      </c>
      <c r="F11" s="2" t="s">
        <v>18</v>
      </c>
      <c r="G11">
        <v>2024</v>
      </c>
      <c r="H11" t="s">
        <v>41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C4CBD-8A93-4345-88CF-856441BC4AF9}">
  <dimension ref="C9:G15"/>
  <sheetViews>
    <sheetView workbookViewId="0">
      <selection activeCell="A9" sqref="A9"/>
    </sheetView>
  </sheetViews>
  <sheetFormatPr defaultRowHeight="15" x14ac:dyDescent="0.25"/>
  <cols>
    <col min="1" max="1" width="51.42578125" customWidth="1"/>
    <col min="2" max="2" width="16" customWidth="1"/>
    <col min="3" max="5" width="9.140625" hidden="1" customWidth="1"/>
    <col min="6" max="6" width="32.140625" customWidth="1"/>
    <col min="7" max="7" width="44.85546875" customWidth="1"/>
  </cols>
  <sheetData>
    <row r="9" spans="6:7" ht="31.5" x14ac:dyDescent="0.5">
      <c r="F9" s="5" t="s">
        <v>33</v>
      </c>
      <c r="G9" s="5" t="s">
        <v>32</v>
      </c>
    </row>
    <row r="10" spans="6:7" ht="31.5" x14ac:dyDescent="0.5">
      <c r="F10" s="5" t="s">
        <v>42</v>
      </c>
      <c r="G10" s="5">
        <f>COUNTA(cleaned!A:A)</f>
        <v>206</v>
      </c>
    </row>
    <row r="11" spans="6:7" ht="31.5" x14ac:dyDescent="0.5">
      <c r="F11" s="5" t="s">
        <v>43</v>
      </c>
      <c r="G11" s="5">
        <f>ROWS(query[Date])</f>
        <v>205</v>
      </c>
    </row>
    <row r="12" spans="6:7" ht="31.5" x14ac:dyDescent="0.5">
      <c r="F12" s="5" t="s">
        <v>44</v>
      </c>
      <c r="G12" s="5">
        <f>COUNTBLANK('Raw Data'!D2:D206)</f>
        <v>9</v>
      </c>
    </row>
    <row r="13" spans="6:7" ht="31.5" x14ac:dyDescent="0.5">
      <c r="F13" s="5" t="s">
        <v>40</v>
      </c>
      <c r="G13" s="5">
        <f>COUNTIF('Raw Data'!D:D, "&lt;0")</f>
        <v>5</v>
      </c>
    </row>
    <row r="14" spans="6:7" ht="31.5" x14ac:dyDescent="0.5">
      <c r="F14" s="5" t="s">
        <v>41</v>
      </c>
      <c r="G14" s="5">
        <f>COUNTIF(query_exception_log!H:H,"Duplicates")</f>
        <v>10</v>
      </c>
    </row>
    <row r="15" spans="6:7" ht="31.5" x14ac:dyDescent="0.5">
      <c r="F15" s="5" t="s">
        <v>45</v>
      </c>
      <c r="G15" s="6">
        <f>G11/G10</f>
        <v>0.99514563106796117</v>
      </c>
    </row>
  </sheetData>
  <conditionalFormatting sqref="G9">
    <cfRule type="colorScale" priority="2">
      <colorScale>
        <cfvo type="min"/>
        <cfvo type="percentile" val="50"/>
        <cfvo type="max"/>
        <color rgb="FFF8696B"/>
        <color rgb="FFFFEB84"/>
        <color rgb="FF63BE7B"/>
      </colorScale>
    </cfRule>
  </conditionalFormatting>
  <conditionalFormatting sqref="G9:G15">
    <cfRule type="colorScale" priority="1">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08A98-1F0E-4818-BF88-0BF472E397B5}">
  <dimension ref="A1:A34"/>
  <sheetViews>
    <sheetView workbookViewId="0">
      <selection activeCell="A31" sqref="A31"/>
    </sheetView>
  </sheetViews>
  <sheetFormatPr defaultRowHeight="15" x14ac:dyDescent="0.25"/>
  <cols>
    <col min="1" max="1" width="91.28515625" customWidth="1"/>
  </cols>
  <sheetData>
    <row r="1" spans="1:1" ht="28.5" x14ac:dyDescent="0.45">
      <c r="A1" s="11" t="s">
        <v>46</v>
      </c>
    </row>
    <row r="3" spans="1:1" ht="18.75" x14ac:dyDescent="0.3">
      <c r="A3" s="12" t="s">
        <v>47</v>
      </c>
    </row>
    <row r="4" spans="1:1" ht="18.75" x14ac:dyDescent="0.3">
      <c r="A4" s="12" t="s">
        <v>48</v>
      </c>
    </row>
    <row r="6" spans="1:1" x14ac:dyDescent="0.25">
      <c r="A6" t="s">
        <v>49</v>
      </c>
    </row>
    <row r="7" spans="1:1" x14ac:dyDescent="0.25">
      <c r="A7" t="s">
        <v>50</v>
      </c>
    </row>
    <row r="10" spans="1:1" x14ac:dyDescent="0.25">
      <c r="A10" t="s">
        <v>51</v>
      </c>
    </row>
    <row r="11" spans="1:1" ht="30" x14ac:dyDescent="0.25">
      <c r="A11" s="13" t="s">
        <v>52</v>
      </c>
    </row>
    <row r="13" spans="1:1" x14ac:dyDescent="0.25">
      <c r="A13" t="s">
        <v>53</v>
      </c>
    </row>
    <row r="14" spans="1:1" x14ac:dyDescent="0.25">
      <c r="A14" t="s">
        <v>54</v>
      </c>
    </row>
    <row r="17" spans="1:1" x14ac:dyDescent="0.25">
      <c r="A17" t="s">
        <v>55</v>
      </c>
    </row>
    <row r="18" spans="1:1" x14ac:dyDescent="0.25">
      <c r="A18" t="s">
        <v>56</v>
      </c>
    </row>
    <row r="22" spans="1:1" x14ac:dyDescent="0.25">
      <c r="A22" t="s">
        <v>57</v>
      </c>
    </row>
    <row r="23" spans="1:1" ht="16.5" x14ac:dyDescent="0.25">
      <c r="A23" s="15" t="s">
        <v>58</v>
      </c>
    </row>
    <row r="24" spans="1:1" x14ac:dyDescent="0.25">
      <c r="A24" s="16"/>
    </row>
    <row r="25" spans="1:1" ht="16.5" x14ac:dyDescent="0.25">
      <c r="A25" s="17" t="s">
        <v>59</v>
      </c>
    </row>
    <row r="26" spans="1:1" ht="16.5" x14ac:dyDescent="0.25">
      <c r="A26" s="17" t="s">
        <v>60</v>
      </c>
    </row>
    <row r="27" spans="1:1" x14ac:dyDescent="0.25">
      <c r="A27" s="14"/>
    </row>
    <row r="28" spans="1:1" ht="16.5" x14ac:dyDescent="0.25">
      <c r="A28" s="15"/>
    </row>
    <row r="29" spans="1:1" x14ac:dyDescent="0.25">
      <c r="A29" s="16"/>
    </row>
    <row r="30" spans="1:1" ht="16.5" x14ac:dyDescent="0.25">
      <c r="A30" s="17"/>
    </row>
    <row r="31" spans="1:1" ht="16.5" x14ac:dyDescent="0.25">
      <c r="A31" s="17"/>
    </row>
    <row r="32" spans="1:1" x14ac:dyDescent="0.25">
      <c r="A32" s="14"/>
    </row>
    <row r="33" spans="1:1" ht="16.5" x14ac:dyDescent="0.25">
      <c r="A33" s="15"/>
    </row>
    <row r="34" spans="1:1" ht="16.5" x14ac:dyDescent="0.25">
      <c r="A34" s="1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F03A742-A647-485C-97C0-0C42822BBCA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Raw Data</vt:lpstr>
      <vt:lpstr>cleaned</vt:lpstr>
      <vt:lpstr>Pivot_Summary</vt:lpstr>
      <vt:lpstr>KPI</vt:lpstr>
      <vt:lpstr>Reconsilation</vt:lpstr>
      <vt:lpstr>query_exception_log</vt:lpstr>
      <vt:lpstr>query_null_sales</vt:lpstr>
      <vt:lpstr>query _negative_sales</vt:lpstr>
      <vt:lpstr>query_duplicates</vt:lpstr>
      <vt:lpstr>Data_Quality</vt:lpstr>
      <vt:lpstr>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Navya Attaluri</dc:creator>
  <cp:lastModifiedBy>Navya Attaluri</cp:lastModifiedBy>
  <cp:lastPrinted>2026-05-14T23:32:18Z</cp:lastPrinted>
  <dcterms:created xsi:type="dcterms:W3CDTF">2026-05-14T23:04:20Z</dcterms:created>
  <dcterms:modified xsi:type="dcterms:W3CDTF">2026-05-15T02:06:21Z</dcterms:modified>
</cp:coreProperties>
</file>